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72.8.100\sli\ACC\AC\Costos\"/>
    </mc:Choice>
  </mc:AlternateContent>
  <xr:revisionPtr revIDLastSave="0" documentId="13_ncr:1_{16417CDD-498D-4755-9C18-92AE8C0B7F55}" xr6:coauthVersionLast="47" xr6:coauthVersionMax="47" xr10:uidLastSave="{00000000-0000-0000-0000-000000000000}"/>
  <bookViews>
    <workbookView xWindow="-120" yWindow="-120" windowWidth="24240" windowHeight="13020" activeTab="8" xr2:uid="{00000000-000D-0000-FFFF-FFFF00000000}"/>
  </bookViews>
  <sheets>
    <sheet name="Contrato" sheetId="6" r:id="rId1"/>
    <sheet name="2021" sheetId="1" state="hidden" r:id="rId2"/>
    <sheet name="01" sheetId="15" r:id="rId3"/>
    <sheet name="02" sheetId="14" r:id="rId4"/>
    <sheet name="2026-3" sheetId="12" r:id="rId5"/>
    <sheet name="2026" sheetId="4" state="hidden" r:id="rId6"/>
    <sheet name="ff" sheetId="5" state="hidden" r:id="rId7"/>
    <sheet name="SAP" sheetId="17" r:id="rId8"/>
    <sheet name="Marzo" sheetId="21" r:id="rId9"/>
  </sheets>
  <definedNames>
    <definedName name="_xlnm._FilterDatabase" localSheetId="4" hidden="1">'2026-3'!$H$1:$H$96</definedName>
    <definedName name="_xlnm._FilterDatabase" localSheetId="8" hidden="1">Marzo!$H$1:$H$96</definedName>
    <definedName name="DatosExternos_1" localSheetId="3" hidden="1">'02'!$A$1:$I$79</definedName>
    <definedName name="DatosExternos_2" localSheetId="2" hidden="1">'01'!$A$1:$L$60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17" l="1"/>
  <c r="L46" i="17"/>
  <c r="S3" i="17"/>
  <c r="S4" i="17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2" i="17"/>
  <c r="Q42" i="17"/>
  <c r="Q40" i="17"/>
  <c r="Q38" i="17"/>
  <c r="Q36" i="17"/>
  <c r="Q34" i="17"/>
  <c r="Q32" i="17"/>
  <c r="Q30" i="17"/>
  <c r="Q28" i="17"/>
  <c r="Q26" i="17"/>
  <c r="Q24" i="17"/>
  <c r="Q22" i="17"/>
  <c r="Q20" i="17"/>
  <c r="Q18" i="17"/>
  <c r="Q16" i="17"/>
  <c r="Q14" i="17"/>
  <c r="Q12" i="17"/>
  <c r="Q10" i="17"/>
  <c r="Q8" i="17"/>
  <c r="Q6" i="17"/>
  <c r="Q4" i="17"/>
  <c r="Q2" i="17"/>
  <c r="Q34" i="12" a="1"/>
  <c r="Q34" i="12" s="1"/>
  <c r="Q82" i="12" a="1"/>
  <c r="Q82" i="12" s="1"/>
  <c r="Q78" i="12" a="1"/>
  <c r="Q78" i="12" s="1"/>
  <c r="Q74" i="12" a="1"/>
  <c r="Q74" i="12" s="1"/>
  <c r="Q70" i="12" a="1"/>
  <c r="Q70" i="12" s="1"/>
  <c r="Q66" i="12" a="1"/>
  <c r="Q66" i="12" s="1"/>
  <c r="Q62" i="12" a="1"/>
  <c r="Q62" i="12" s="1"/>
  <c r="Q58" i="12" a="1"/>
  <c r="Q58" i="12" s="1"/>
  <c r="Q54" i="12" a="1"/>
  <c r="Q54" i="12" s="1"/>
  <c r="Q50" i="12" a="1"/>
  <c r="Q50" i="12" s="1"/>
  <c r="Q46" i="12" a="1"/>
  <c r="Q46" i="12" s="1"/>
  <c r="Q42" i="12" a="1"/>
  <c r="Q42" i="12" s="1"/>
  <c r="Q38" i="12" a="1"/>
  <c r="Q38" i="12" s="1"/>
  <c r="Q30" i="12" a="1"/>
  <c r="Q30" i="12" s="1"/>
  <c r="Q26" i="12" a="1"/>
  <c r="Q26" i="12" s="1"/>
  <c r="Q22" i="12" a="1"/>
  <c r="Q22" i="12" s="1"/>
  <c r="Q18" i="12" a="1"/>
  <c r="Q18" i="12" s="1"/>
  <c r="Q14" i="12" a="1"/>
  <c r="Q14" i="12" s="1"/>
  <c r="Q10" i="12" a="1"/>
  <c r="Q10" i="12" s="1"/>
  <c r="Q6" i="12" a="1"/>
  <c r="Q6" i="12" s="1"/>
  <c r="Q2" i="12" a="1"/>
  <c r="Q2" i="12" s="1"/>
  <c r="M3" i="12"/>
  <c r="M4" i="12"/>
  <c r="M5" i="12"/>
  <c r="M2" i="12"/>
  <c r="M32" i="12"/>
  <c r="M30" i="12"/>
  <c r="Y6" i="12"/>
  <c r="Y8" i="12" s="1"/>
  <c r="M84" i="12"/>
  <c r="M80" i="12"/>
  <c r="M76" i="12"/>
  <c r="M72" i="12"/>
  <c r="M68" i="12"/>
  <c r="M64" i="12"/>
  <c r="M60" i="12"/>
  <c r="M56" i="12"/>
  <c r="M52" i="12"/>
  <c r="M48" i="12"/>
  <c r="M44" i="12"/>
  <c r="M40" i="12"/>
  <c r="M36" i="12"/>
  <c r="M28" i="12"/>
  <c r="M24" i="12"/>
  <c r="M20" i="12"/>
  <c r="M18" i="12"/>
  <c r="M82" i="12"/>
  <c r="M78" i="12"/>
  <c r="M74" i="12"/>
  <c r="M70" i="12"/>
  <c r="M66" i="12"/>
  <c r="M62" i="12"/>
  <c r="M58" i="12"/>
  <c r="M54" i="12"/>
  <c r="M50" i="12"/>
  <c r="M46" i="12"/>
  <c r="M42" i="12"/>
  <c r="M34" i="12"/>
  <c r="M26" i="12"/>
  <c r="M22" i="12"/>
  <c r="M6" i="12"/>
  <c r="M10" i="12"/>
  <c r="M14" i="12"/>
  <c r="M38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G86" i="12"/>
  <c r="O41" i="12"/>
  <c r="O40" i="12"/>
  <c r="O39" i="12"/>
  <c r="O38" i="12"/>
  <c r="O37" i="12"/>
  <c r="O36" i="12"/>
  <c r="O35" i="12"/>
  <c r="O34" i="12"/>
  <c r="U42" i="12"/>
  <c r="W28" i="12"/>
  <c r="W30" i="12" s="1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5" i="12"/>
  <c r="O16" i="12"/>
  <c r="O17" i="12"/>
  <c r="O14" i="12"/>
  <c r="O11" i="12"/>
  <c r="O12" i="12"/>
  <c r="O13" i="12"/>
  <c r="O10" i="12"/>
  <c r="O7" i="12"/>
  <c r="O8" i="12"/>
  <c r="O9" i="12"/>
  <c r="O6" i="12"/>
  <c r="J2" i="14"/>
  <c r="J3" i="14"/>
  <c r="J4" i="14"/>
  <c r="J5" i="14"/>
  <c r="J6" i="14"/>
  <c r="J7" i="14" s="1"/>
  <c r="J8" i="14" s="1"/>
  <c r="J9" i="14" s="1"/>
  <c r="J10" i="14" s="1"/>
  <c r="J11" i="14"/>
  <c r="J16" i="14"/>
  <c r="J17" i="14" s="1"/>
  <c r="J18" i="14" s="1"/>
  <c r="J19" i="14" s="1"/>
  <c r="J20" i="14" s="1"/>
  <c r="J21" i="14"/>
  <c r="J22" i="14" s="1"/>
  <c r="J23" i="14" s="1"/>
  <c r="J24" i="14" s="1"/>
  <c r="J25" i="14" s="1"/>
  <c r="J26" i="14"/>
  <c r="J27" i="14" s="1"/>
  <c r="J28" i="14" s="1"/>
  <c r="J29" i="14" s="1"/>
  <c r="J30" i="14" s="1"/>
  <c r="J31" i="14"/>
  <c r="J32" i="14" s="1"/>
  <c r="J33" i="14" s="1"/>
  <c r="J34" i="14" s="1"/>
  <c r="J35" i="14" s="1"/>
  <c r="J36" i="14"/>
  <c r="J37" i="14" s="1"/>
  <c r="J38" i="14" s="1"/>
  <c r="J39" i="14" s="1"/>
  <c r="J40" i="14" s="1"/>
  <c r="J41" i="14"/>
  <c r="J42" i="14" s="1"/>
  <c r="J43" i="14" s="1"/>
  <c r="J44" i="14" s="1"/>
  <c r="J45" i="14" s="1"/>
  <c r="J46" i="14"/>
  <c r="J47" i="14" s="1"/>
  <c r="J48" i="14" s="1"/>
  <c r="J49" i="14" s="1"/>
  <c r="J50" i="14" s="1"/>
  <c r="J51" i="14"/>
  <c r="J52" i="14" s="1"/>
  <c r="J53" i="14" s="1"/>
  <c r="J54" i="14" s="1"/>
  <c r="J55" i="14" s="1"/>
  <c r="J56" i="14"/>
  <c r="J57" i="14" s="1"/>
  <c r="J58" i="14" s="1"/>
  <c r="J59" i="14" s="1"/>
  <c r="J60" i="14" s="1"/>
  <c r="J61" i="14"/>
  <c r="J62" i="14" s="1"/>
  <c r="J63" i="14" s="1"/>
  <c r="J64" i="14" s="1"/>
  <c r="J65" i="14" s="1"/>
  <c r="J66" i="14"/>
  <c r="J67" i="14" s="1"/>
  <c r="J68" i="14" s="1"/>
  <c r="J69" i="14" s="1"/>
  <c r="J70" i="14" s="1"/>
  <c r="J71" i="14"/>
  <c r="J72" i="14" s="1"/>
  <c r="J73" i="14" s="1"/>
  <c r="J74" i="14" s="1"/>
  <c r="J75" i="14" s="1"/>
  <c r="J76" i="14"/>
  <c r="J77" i="14" s="1"/>
  <c r="J78" i="14" s="1"/>
  <c r="J79" i="14" s="1"/>
  <c r="M2" i="15"/>
  <c r="M3" i="15"/>
  <c r="M4" i="15" s="1"/>
  <c r="M5" i="15" s="1"/>
  <c r="M6" i="15" s="1"/>
  <c r="M7" i="15" s="1"/>
  <c r="M8" i="15"/>
  <c r="M9" i="15" s="1"/>
  <c r="M10" i="15" s="1"/>
  <c r="M11" i="15" s="1"/>
  <c r="M12" i="15" s="1"/>
  <c r="M13" i="15"/>
  <c r="M14" i="15" s="1"/>
  <c r="M15" i="15" s="1"/>
  <c r="M16" i="15" s="1"/>
  <c r="M17" i="15" s="1"/>
  <c r="M18" i="15"/>
  <c r="M19" i="15" s="1"/>
  <c r="M20" i="15" s="1"/>
  <c r="M21" i="15" s="1"/>
  <c r="M22" i="15" s="1"/>
  <c r="M23" i="15"/>
  <c r="M24" i="15" s="1"/>
  <c r="M25" i="15" s="1"/>
  <c r="M26" i="15" s="1"/>
  <c r="M27" i="15" s="1"/>
  <c r="M28" i="15"/>
  <c r="M29" i="15" s="1"/>
  <c r="M30" i="15" s="1"/>
  <c r="M31" i="15" s="1"/>
  <c r="M32" i="15" s="1"/>
  <c r="M33" i="15"/>
  <c r="M34" i="15" s="1"/>
  <c r="M35" i="15" s="1"/>
  <c r="M36" i="15" s="1"/>
  <c r="M37" i="15" s="1"/>
  <c r="M38" i="15"/>
  <c r="M39" i="15" s="1"/>
  <c r="M40" i="15" s="1"/>
  <c r="M41" i="15" s="1"/>
  <c r="M42" i="15" s="1"/>
  <c r="M43" i="15"/>
  <c r="M44" i="15" s="1"/>
  <c r="M45" i="15" s="1"/>
  <c r="M46" i="15" s="1"/>
  <c r="M47" i="15" s="1"/>
  <c r="M48" i="15"/>
  <c r="M49" i="15" s="1"/>
  <c r="M50" i="15" s="1"/>
  <c r="M51" i="15" s="1"/>
  <c r="M52" i="15" s="1"/>
  <c r="M53" i="15"/>
  <c r="M54" i="15" s="1"/>
  <c r="M55" i="15" s="1"/>
  <c r="M56" i="15" s="1"/>
  <c r="M57" i="15" s="1"/>
  <c r="M58" i="15"/>
  <c r="M59" i="15"/>
  <c r="M60" i="15"/>
  <c r="O3" i="12"/>
  <c r="O4" i="12"/>
  <c r="O5" i="12"/>
  <c r="O2" i="12"/>
  <c r="H7" i="4"/>
  <c r="AD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7" i="4"/>
  <c r="Z55" i="4"/>
  <c r="AB54" i="4"/>
  <c r="AB53" i="4"/>
  <c r="AB52" i="4"/>
  <c r="AB51" i="4"/>
  <c r="AB50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7" i="4"/>
  <c r="AB36" i="4"/>
  <c r="AB35" i="4"/>
  <c r="AB34" i="4"/>
  <c r="AB33" i="4"/>
  <c r="AB32" i="4"/>
  <c r="AB31" i="4"/>
  <c r="AB30" i="4"/>
  <c r="AB29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3" i="4"/>
  <c r="AB12" i="4"/>
  <c r="AB11" i="4"/>
  <c r="AB10" i="4"/>
  <c r="AB7" i="4"/>
  <c r="H8" i="6"/>
  <c r="H9" i="6"/>
  <c r="H10" i="6"/>
  <c r="H11" i="6"/>
  <c r="H12" i="6"/>
  <c r="H13" i="6"/>
  <c r="H14" i="6"/>
  <c r="H7" i="6"/>
  <c r="G14" i="6"/>
  <c r="G13" i="6"/>
  <c r="G12" i="6"/>
  <c r="G11" i="6"/>
  <c r="G10" i="6"/>
  <c r="G9" i="6"/>
  <c r="G8" i="6"/>
  <c r="G7" i="6"/>
  <c r="V55" i="4"/>
  <c r="R55" i="4"/>
  <c r="N55" i="4"/>
  <c r="J55" i="4"/>
  <c r="U53" i="1"/>
  <c r="Q53" i="1"/>
  <c r="M53" i="1"/>
  <c r="I53" i="1"/>
  <c r="E53" i="1"/>
  <c r="Y53" i="1" s="1"/>
  <c r="F55" i="4"/>
  <c r="AA52" i="5"/>
  <c r="W52" i="5"/>
  <c r="S52" i="5"/>
  <c r="O52" i="5"/>
  <c r="K52" i="5"/>
  <c r="G52" i="5"/>
  <c r="AA51" i="5"/>
  <c r="W51" i="5"/>
  <c r="S51" i="5"/>
  <c r="O51" i="5"/>
  <c r="K51" i="5"/>
  <c r="G51" i="5"/>
  <c r="AA50" i="5"/>
  <c r="W50" i="5"/>
  <c r="S50" i="5"/>
  <c r="O50" i="5"/>
  <c r="K50" i="5"/>
  <c r="G50" i="5"/>
  <c r="AA49" i="5"/>
  <c r="W49" i="5"/>
  <c r="S49" i="5"/>
  <c r="O49" i="5"/>
  <c r="K49" i="5"/>
  <c r="G49" i="5"/>
  <c r="AA48" i="5"/>
  <c r="W48" i="5"/>
  <c r="S48" i="5"/>
  <c r="O48" i="5"/>
  <c r="K48" i="5"/>
  <c r="G48" i="5"/>
  <c r="AA47" i="5"/>
  <c r="W47" i="5"/>
  <c r="S47" i="5"/>
  <c r="O47" i="5"/>
  <c r="K47" i="5"/>
  <c r="G47" i="5"/>
  <c r="AA46" i="5"/>
  <c r="W46" i="5"/>
  <c r="S46" i="5"/>
  <c r="O46" i="5"/>
  <c r="K46" i="5"/>
  <c r="G46" i="5"/>
  <c r="AA45" i="5"/>
  <c r="W45" i="5"/>
  <c r="S45" i="5"/>
  <c r="O45" i="5"/>
  <c r="K45" i="5"/>
  <c r="G45" i="5"/>
  <c r="AA44" i="5"/>
  <c r="W44" i="5"/>
  <c r="S44" i="5"/>
  <c r="O44" i="5"/>
  <c r="K44" i="5"/>
  <c r="G44" i="5"/>
  <c r="AA43" i="5"/>
  <c r="W43" i="5"/>
  <c r="S43" i="5"/>
  <c r="O43" i="5"/>
  <c r="K43" i="5"/>
  <c r="G43" i="5"/>
  <c r="AA42" i="5"/>
  <c r="W42" i="5"/>
  <c r="S42" i="5"/>
  <c r="O42" i="5"/>
  <c r="K42" i="5"/>
  <c r="G42" i="5"/>
  <c r="AA41" i="5"/>
  <c r="W41" i="5"/>
  <c r="S41" i="5"/>
  <c r="O41" i="5"/>
  <c r="K41" i="5"/>
  <c r="G41" i="5"/>
  <c r="AA40" i="5"/>
  <c r="W40" i="5"/>
  <c r="S40" i="5"/>
  <c r="O40" i="5"/>
  <c r="K40" i="5"/>
  <c r="G40" i="5"/>
  <c r="AA39" i="5"/>
  <c r="W39" i="5"/>
  <c r="S39" i="5"/>
  <c r="O39" i="5"/>
  <c r="K39" i="5"/>
  <c r="G39" i="5"/>
  <c r="AA38" i="5"/>
  <c r="W38" i="5"/>
  <c r="S38" i="5"/>
  <c r="O38" i="5"/>
  <c r="K38" i="5"/>
  <c r="G38" i="5"/>
  <c r="AA37" i="5"/>
  <c r="W37" i="5"/>
  <c r="S37" i="5"/>
  <c r="O37" i="5"/>
  <c r="K37" i="5"/>
  <c r="G37" i="5"/>
  <c r="AA36" i="5"/>
  <c r="W36" i="5"/>
  <c r="S36" i="5"/>
  <c r="O36" i="5"/>
  <c r="K36" i="5"/>
  <c r="G36" i="5"/>
  <c r="AA35" i="5"/>
  <c r="W35" i="5"/>
  <c r="S35" i="5"/>
  <c r="O35" i="5"/>
  <c r="K35" i="5"/>
  <c r="G35" i="5"/>
  <c r="AA34" i="5"/>
  <c r="W34" i="5"/>
  <c r="S34" i="5"/>
  <c r="O34" i="5"/>
  <c r="K34" i="5"/>
  <c r="G34" i="5"/>
  <c r="AA33" i="5"/>
  <c r="W33" i="5"/>
  <c r="S33" i="5"/>
  <c r="O33" i="5"/>
  <c r="K33" i="5"/>
  <c r="G33" i="5"/>
  <c r="AA32" i="5"/>
  <c r="W32" i="5"/>
  <c r="S32" i="5"/>
  <c r="O32" i="5"/>
  <c r="K32" i="5"/>
  <c r="G32" i="5"/>
  <c r="AA31" i="5"/>
  <c r="W31" i="5"/>
  <c r="S31" i="5"/>
  <c r="O31" i="5"/>
  <c r="K31" i="5"/>
  <c r="G31" i="5"/>
  <c r="AA30" i="5"/>
  <c r="W30" i="5"/>
  <c r="S30" i="5"/>
  <c r="O30" i="5"/>
  <c r="K30" i="5"/>
  <c r="G30" i="5"/>
  <c r="AA29" i="5"/>
  <c r="W29" i="5"/>
  <c r="S29" i="5"/>
  <c r="O29" i="5"/>
  <c r="K29" i="5"/>
  <c r="G29" i="5"/>
  <c r="AA28" i="5"/>
  <c r="W28" i="5"/>
  <c r="S28" i="5"/>
  <c r="O28" i="5"/>
  <c r="K28" i="5"/>
  <c r="G28" i="5"/>
  <c r="AA27" i="5"/>
  <c r="W27" i="5"/>
  <c r="S27" i="5"/>
  <c r="O27" i="5"/>
  <c r="K27" i="5"/>
  <c r="G27" i="5"/>
  <c r="AA26" i="5"/>
  <c r="W26" i="5"/>
  <c r="S26" i="5"/>
  <c r="O26" i="5"/>
  <c r="K26" i="5"/>
  <c r="G26" i="5"/>
  <c r="AA25" i="5"/>
  <c r="W25" i="5"/>
  <c r="S25" i="5"/>
  <c r="O25" i="5"/>
  <c r="K25" i="5"/>
  <c r="G25" i="5"/>
  <c r="AA24" i="5"/>
  <c r="W24" i="5"/>
  <c r="S24" i="5"/>
  <c r="O24" i="5"/>
  <c r="K24" i="5"/>
  <c r="G24" i="5"/>
  <c r="AA23" i="5"/>
  <c r="W23" i="5"/>
  <c r="S23" i="5"/>
  <c r="O23" i="5"/>
  <c r="K23" i="5"/>
  <c r="G23" i="5"/>
  <c r="AA22" i="5"/>
  <c r="W22" i="5"/>
  <c r="S22" i="5"/>
  <c r="O22" i="5"/>
  <c r="K22" i="5"/>
  <c r="G22" i="5"/>
  <c r="AA21" i="5"/>
  <c r="W21" i="5"/>
  <c r="S21" i="5"/>
  <c r="O21" i="5"/>
  <c r="K21" i="5"/>
  <c r="G21" i="5"/>
  <c r="AA20" i="5"/>
  <c r="W20" i="5"/>
  <c r="S20" i="5"/>
  <c r="O20" i="5"/>
  <c r="K20" i="5"/>
  <c r="G20" i="5"/>
  <c r="AA19" i="5"/>
  <c r="W19" i="5"/>
  <c r="S19" i="5"/>
  <c r="O19" i="5"/>
  <c r="K19" i="5"/>
  <c r="G19" i="5"/>
  <c r="AA18" i="5"/>
  <c r="W18" i="5"/>
  <c r="S18" i="5"/>
  <c r="O18" i="5"/>
  <c r="K18" i="5"/>
  <c r="G18" i="5"/>
  <c r="AA17" i="5"/>
  <c r="W17" i="5"/>
  <c r="S17" i="5"/>
  <c r="O17" i="5"/>
  <c r="K17" i="5"/>
  <c r="G17" i="5"/>
  <c r="AA16" i="5"/>
  <c r="W16" i="5"/>
  <c r="S16" i="5"/>
  <c r="O16" i="5"/>
  <c r="K16" i="5"/>
  <c r="G16" i="5"/>
  <c r="AA15" i="5"/>
  <c r="W15" i="5"/>
  <c r="S15" i="5"/>
  <c r="O15" i="5"/>
  <c r="K15" i="5"/>
  <c r="G15" i="5"/>
  <c r="AA14" i="5"/>
  <c r="W14" i="5"/>
  <c r="S14" i="5"/>
  <c r="O14" i="5"/>
  <c r="K14" i="5"/>
  <c r="G14" i="5"/>
  <c r="AA13" i="5"/>
  <c r="W13" i="5"/>
  <c r="S13" i="5"/>
  <c r="O13" i="5"/>
  <c r="K13" i="5"/>
  <c r="G13" i="5"/>
  <c r="AA12" i="5"/>
  <c r="W12" i="5"/>
  <c r="S12" i="5"/>
  <c r="O12" i="5"/>
  <c r="K12" i="5"/>
  <c r="G12" i="5"/>
  <c r="AA11" i="5"/>
  <c r="W11" i="5"/>
  <c r="S11" i="5"/>
  <c r="O11" i="5"/>
  <c r="K11" i="5"/>
  <c r="G11" i="5"/>
  <c r="AA10" i="5"/>
  <c r="W10" i="5"/>
  <c r="S10" i="5"/>
  <c r="O10" i="5"/>
  <c r="K10" i="5"/>
  <c r="G10" i="5"/>
  <c r="AA9" i="5"/>
  <c r="W9" i="5"/>
  <c r="S9" i="5"/>
  <c r="O9" i="5"/>
  <c r="K9" i="5"/>
  <c r="G9" i="5"/>
  <c r="AA8" i="5"/>
  <c r="W8" i="5"/>
  <c r="S8" i="5"/>
  <c r="O8" i="5"/>
  <c r="K8" i="5"/>
  <c r="G8" i="5"/>
  <c r="AA7" i="5"/>
  <c r="W7" i="5"/>
  <c r="S7" i="5"/>
  <c r="O7" i="5"/>
  <c r="K7" i="5"/>
  <c r="G7" i="5"/>
  <c r="X50" i="4"/>
  <c r="T50" i="4"/>
  <c r="P50" i="4"/>
  <c r="L50" i="4"/>
  <c r="H50" i="4"/>
  <c r="X49" i="4"/>
  <c r="T49" i="4"/>
  <c r="P49" i="4"/>
  <c r="L49" i="4"/>
  <c r="H49" i="4"/>
  <c r="X10" i="4"/>
  <c r="T10" i="4"/>
  <c r="P10" i="4"/>
  <c r="L10" i="4"/>
  <c r="H10" i="4"/>
  <c r="X7" i="4"/>
  <c r="T7" i="4"/>
  <c r="P7" i="4"/>
  <c r="L7" i="4"/>
  <c r="X52" i="4"/>
  <c r="T52" i="4"/>
  <c r="P52" i="4"/>
  <c r="L52" i="4"/>
  <c r="H52" i="4"/>
  <c r="X51" i="4"/>
  <c r="T51" i="4"/>
  <c r="P51" i="4"/>
  <c r="L51" i="4"/>
  <c r="H51" i="4"/>
  <c r="X54" i="4"/>
  <c r="T54" i="4"/>
  <c r="P54" i="4"/>
  <c r="L54" i="4"/>
  <c r="H54" i="4"/>
  <c r="X53" i="4"/>
  <c r="T53" i="4"/>
  <c r="P53" i="4"/>
  <c r="L53" i="4"/>
  <c r="H53" i="4"/>
  <c r="X48" i="4"/>
  <c r="T48" i="4"/>
  <c r="P48" i="4"/>
  <c r="L48" i="4"/>
  <c r="H48" i="4"/>
  <c r="X47" i="4"/>
  <c r="T47" i="4"/>
  <c r="P47" i="4"/>
  <c r="L47" i="4"/>
  <c r="H47" i="4"/>
  <c r="X46" i="4"/>
  <c r="T46" i="4"/>
  <c r="P46" i="4"/>
  <c r="L46" i="4"/>
  <c r="H46" i="4"/>
  <c r="X45" i="4"/>
  <c r="T45" i="4"/>
  <c r="P45" i="4"/>
  <c r="L45" i="4"/>
  <c r="H45" i="4"/>
  <c r="X14" i="4"/>
  <c r="T14" i="4"/>
  <c r="P14" i="4"/>
  <c r="L14" i="4"/>
  <c r="H14" i="4"/>
  <c r="X13" i="4"/>
  <c r="T13" i="4"/>
  <c r="P13" i="4"/>
  <c r="L13" i="4"/>
  <c r="H13" i="4"/>
  <c r="X22" i="4"/>
  <c r="T22" i="4"/>
  <c r="P22" i="4"/>
  <c r="L22" i="4"/>
  <c r="H22" i="4"/>
  <c r="X21" i="4"/>
  <c r="T21" i="4"/>
  <c r="P21" i="4"/>
  <c r="L21" i="4"/>
  <c r="H21" i="4"/>
  <c r="X42" i="4"/>
  <c r="T42" i="4"/>
  <c r="P42" i="4"/>
  <c r="L42" i="4"/>
  <c r="H42" i="4"/>
  <c r="X41" i="4"/>
  <c r="T41" i="4"/>
  <c r="P41" i="4"/>
  <c r="L41" i="4"/>
  <c r="H41" i="4"/>
  <c r="X40" i="4"/>
  <c r="T40" i="4"/>
  <c r="P40" i="4"/>
  <c r="L40" i="4"/>
  <c r="H40" i="4"/>
  <c r="X39" i="4"/>
  <c r="T39" i="4"/>
  <c r="P39" i="4"/>
  <c r="L39" i="4"/>
  <c r="H39" i="4"/>
  <c r="X32" i="4"/>
  <c r="T32" i="4"/>
  <c r="P32" i="4"/>
  <c r="L32" i="4"/>
  <c r="H32" i="4"/>
  <c r="X31" i="4"/>
  <c r="T31" i="4"/>
  <c r="P31" i="4"/>
  <c r="L31" i="4"/>
  <c r="H31" i="4"/>
  <c r="X36" i="4"/>
  <c r="T36" i="4"/>
  <c r="P36" i="4"/>
  <c r="L36" i="4"/>
  <c r="H36" i="4"/>
  <c r="X35" i="4"/>
  <c r="T35" i="4"/>
  <c r="P35" i="4"/>
  <c r="L35" i="4"/>
  <c r="H35" i="4"/>
  <c r="X16" i="4"/>
  <c r="T16" i="4"/>
  <c r="P16" i="4"/>
  <c r="L16" i="4"/>
  <c r="H16" i="4"/>
  <c r="X15" i="4"/>
  <c r="T15" i="4"/>
  <c r="P15" i="4"/>
  <c r="L15" i="4"/>
  <c r="H15" i="4"/>
  <c r="X38" i="4"/>
  <c r="T38" i="4"/>
  <c r="P38" i="4"/>
  <c r="L38" i="4"/>
  <c r="H38" i="4"/>
  <c r="X37" i="4"/>
  <c r="T37" i="4"/>
  <c r="P37" i="4"/>
  <c r="L37" i="4"/>
  <c r="H37" i="4"/>
  <c r="X30" i="4"/>
  <c r="T30" i="4"/>
  <c r="P30" i="4"/>
  <c r="L30" i="4"/>
  <c r="H30" i="4"/>
  <c r="X29" i="4"/>
  <c r="T29" i="4"/>
  <c r="P29" i="4"/>
  <c r="L29" i="4"/>
  <c r="H29" i="4"/>
  <c r="X28" i="4"/>
  <c r="T28" i="4"/>
  <c r="P28" i="4"/>
  <c r="L28" i="4"/>
  <c r="H28" i="4"/>
  <c r="X27" i="4"/>
  <c r="T27" i="4"/>
  <c r="P27" i="4"/>
  <c r="L27" i="4"/>
  <c r="H27" i="4"/>
  <c r="X18" i="4"/>
  <c r="T18" i="4"/>
  <c r="P18" i="4"/>
  <c r="L18" i="4"/>
  <c r="H18" i="4"/>
  <c r="X17" i="4"/>
  <c r="T17" i="4"/>
  <c r="P17" i="4"/>
  <c r="L17" i="4"/>
  <c r="H17" i="4"/>
  <c r="X26" i="4"/>
  <c r="T26" i="4"/>
  <c r="P26" i="4"/>
  <c r="L26" i="4"/>
  <c r="H26" i="4"/>
  <c r="X25" i="4"/>
  <c r="T25" i="4"/>
  <c r="P25" i="4"/>
  <c r="L25" i="4"/>
  <c r="H25" i="4"/>
  <c r="X24" i="4"/>
  <c r="T24" i="4"/>
  <c r="P24" i="4"/>
  <c r="L24" i="4"/>
  <c r="H24" i="4"/>
  <c r="X23" i="4"/>
  <c r="T23" i="4"/>
  <c r="P23" i="4"/>
  <c r="L23" i="4"/>
  <c r="H23" i="4"/>
  <c r="X12" i="4"/>
  <c r="T12" i="4"/>
  <c r="P12" i="4"/>
  <c r="L12" i="4"/>
  <c r="H12" i="4"/>
  <c r="X11" i="4"/>
  <c r="T11" i="4"/>
  <c r="P11" i="4"/>
  <c r="L11" i="4"/>
  <c r="H11" i="4"/>
  <c r="X34" i="4"/>
  <c r="T34" i="4"/>
  <c r="P34" i="4"/>
  <c r="L34" i="4"/>
  <c r="H34" i="4"/>
  <c r="X33" i="4"/>
  <c r="T33" i="4"/>
  <c r="P33" i="4"/>
  <c r="L33" i="4"/>
  <c r="H33" i="4"/>
  <c r="X44" i="4"/>
  <c r="T44" i="4"/>
  <c r="P44" i="4"/>
  <c r="L44" i="4"/>
  <c r="H44" i="4"/>
  <c r="X43" i="4"/>
  <c r="T43" i="4"/>
  <c r="P43" i="4"/>
  <c r="L43" i="4"/>
  <c r="H43" i="4"/>
  <c r="X20" i="4"/>
  <c r="T20" i="4"/>
  <c r="P20" i="4"/>
  <c r="L20" i="4"/>
  <c r="H20" i="4"/>
  <c r="X19" i="4"/>
  <c r="T19" i="4"/>
  <c r="P19" i="4"/>
  <c r="L19" i="4"/>
  <c r="H19" i="4"/>
  <c r="C65" i="1"/>
  <c r="W48" i="1"/>
  <c r="W47" i="1"/>
  <c r="W8" i="1"/>
  <c r="W7" i="1"/>
  <c r="W50" i="1"/>
  <c r="W49" i="1"/>
  <c r="W52" i="1"/>
  <c r="W51" i="1"/>
  <c r="W46" i="1"/>
  <c r="W45" i="1"/>
  <c r="W44" i="1"/>
  <c r="W43" i="1"/>
  <c r="W12" i="1"/>
  <c r="W11" i="1"/>
  <c r="W20" i="1"/>
  <c r="W19" i="1"/>
  <c r="W40" i="1"/>
  <c r="W39" i="1"/>
  <c r="W38" i="1"/>
  <c r="W37" i="1"/>
  <c r="W30" i="1"/>
  <c r="W29" i="1"/>
  <c r="W34" i="1"/>
  <c r="W33" i="1"/>
  <c r="W14" i="1"/>
  <c r="W13" i="1"/>
  <c r="W36" i="1"/>
  <c r="W35" i="1"/>
  <c r="W28" i="1"/>
  <c r="W27" i="1"/>
  <c r="W26" i="1"/>
  <c r="W25" i="1"/>
  <c r="W16" i="1"/>
  <c r="W15" i="1"/>
  <c r="W24" i="1"/>
  <c r="W23" i="1"/>
  <c r="W22" i="1"/>
  <c r="W21" i="1"/>
  <c r="W10" i="1"/>
  <c r="W9" i="1"/>
  <c r="W32" i="1"/>
  <c r="W31" i="1"/>
  <c r="W42" i="1"/>
  <c r="W41" i="1"/>
  <c r="W18" i="1"/>
  <c r="W17" i="1"/>
  <c r="S48" i="1"/>
  <c r="S47" i="1"/>
  <c r="S8" i="1"/>
  <c r="S7" i="1"/>
  <c r="S50" i="1"/>
  <c r="S49" i="1"/>
  <c r="S52" i="1"/>
  <c r="S51" i="1"/>
  <c r="S46" i="1"/>
  <c r="S45" i="1"/>
  <c r="S44" i="1"/>
  <c r="S43" i="1"/>
  <c r="S12" i="1"/>
  <c r="S11" i="1"/>
  <c r="S20" i="1"/>
  <c r="S19" i="1"/>
  <c r="S40" i="1"/>
  <c r="S39" i="1"/>
  <c r="S38" i="1"/>
  <c r="S37" i="1"/>
  <c r="S30" i="1"/>
  <c r="S29" i="1"/>
  <c r="S34" i="1"/>
  <c r="S33" i="1"/>
  <c r="S14" i="1"/>
  <c r="S13" i="1"/>
  <c r="S36" i="1"/>
  <c r="S35" i="1"/>
  <c r="S28" i="1"/>
  <c r="S27" i="1"/>
  <c r="S26" i="1"/>
  <c r="S25" i="1"/>
  <c r="S16" i="1"/>
  <c r="S15" i="1"/>
  <c r="S24" i="1"/>
  <c r="S23" i="1"/>
  <c r="S22" i="1"/>
  <c r="S21" i="1"/>
  <c r="S10" i="1"/>
  <c r="S9" i="1"/>
  <c r="S32" i="1"/>
  <c r="S31" i="1"/>
  <c r="S42" i="1"/>
  <c r="S41" i="1"/>
  <c r="S18" i="1"/>
  <c r="S17" i="1"/>
  <c r="O48" i="1"/>
  <c r="O47" i="1"/>
  <c r="O8" i="1"/>
  <c r="O7" i="1"/>
  <c r="O50" i="1"/>
  <c r="O49" i="1"/>
  <c r="O52" i="1"/>
  <c r="O51" i="1"/>
  <c r="O46" i="1"/>
  <c r="O45" i="1"/>
  <c r="O44" i="1"/>
  <c r="O43" i="1"/>
  <c r="O12" i="1"/>
  <c r="O11" i="1"/>
  <c r="O20" i="1"/>
  <c r="O19" i="1"/>
  <c r="O40" i="1"/>
  <c r="O39" i="1"/>
  <c r="O38" i="1"/>
  <c r="O37" i="1"/>
  <c r="O30" i="1"/>
  <c r="O29" i="1"/>
  <c r="O34" i="1"/>
  <c r="O33" i="1"/>
  <c r="O14" i="1"/>
  <c r="O13" i="1"/>
  <c r="O36" i="1"/>
  <c r="O35" i="1"/>
  <c r="O28" i="1"/>
  <c r="O27" i="1"/>
  <c r="O26" i="1"/>
  <c r="O25" i="1"/>
  <c r="O16" i="1"/>
  <c r="O15" i="1"/>
  <c r="O24" i="1"/>
  <c r="O23" i="1"/>
  <c r="O22" i="1"/>
  <c r="O21" i="1"/>
  <c r="O10" i="1"/>
  <c r="O9" i="1"/>
  <c r="O32" i="1"/>
  <c r="O31" i="1"/>
  <c r="O42" i="1"/>
  <c r="O41" i="1"/>
  <c r="O18" i="1"/>
  <c r="O17" i="1"/>
  <c r="K48" i="1"/>
  <c r="K47" i="1"/>
  <c r="K8" i="1"/>
  <c r="K7" i="1"/>
  <c r="K50" i="1"/>
  <c r="K49" i="1"/>
  <c r="K52" i="1"/>
  <c r="K51" i="1"/>
  <c r="K46" i="1"/>
  <c r="K45" i="1"/>
  <c r="K44" i="1"/>
  <c r="K43" i="1"/>
  <c r="K12" i="1"/>
  <c r="K11" i="1"/>
  <c r="K20" i="1"/>
  <c r="K19" i="1"/>
  <c r="K40" i="1"/>
  <c r="K39" i="1"/>
  <c r="K38" i="1"/>
  <c r="K37" i="1"/>
  <c r="K30" i="1"/>
  <c r="K29" i="1"/>
  <c r="K34" i="1"/>
  <c r="K33" i="1"/>
  <c r="K14" i="1"/>
  <c r="K13" i="1"/>
  <c r="K36" i="1"/>
  <c r="K35" i="1"/>
  <c r="K28" i="1"/>
  <c r="K27" i="1"/>
  <c r="K26" i="1"/>
  <c r="K25" i="1"/>
  <c r="K16" i="1"/>
  <c r="K15" i="1"/>
  <c r="K24" i="1"/>
  <c r="K23" i="1"/>
  <c r="K22" i="1"/>
  <c r="K21" i="1"/>
  <c r="K10" i="1"/>
  <c r="K9" i="1"/>
  <c r="K32" i="1"/>
  <c r="K31" i="1"/>
  <c r="K42" i="1"/>
  <c r="K41" i="1"/>
  <c r="K18" i="1"/>
  <c r="K17" i="1"/>
  <c r="G48" i="1"/>
  <c r="G47" i="1"/>
  <c r="G8" i="1"/>
  <c r="G7" i="1"/>
  <c r="G50" i="1"/>
  <c r="G49" i="1"/>
  <c r="G52" i="1"/>
  <c r="G51" i="1"/>
  <c r="G46" i="1"/>
  <c r="G45" i="1"/>
  <c r="G44" i="1"/>
  <c r="G43" i="1"/>
  <c r="G20" i="1"/>
  <c r="G19" i="1"/>
  <c r="G40" i="1"/>
  <c r="G39" i="1"/>
  <c r="G38" i="1"/>
  <c r="G37" i="1"/>
  <c r="G34" i="1"/>
  <c r="G33" i="1"/>
  <c r="G14" i="1"/>
  <c r="G13" i="1"/>
  <c r="G36" i="1"/>
  <c r="G35" i="1"/>
  <c r="G28" i="1"/>
  <c r="G27" i="1"/>
  <c r="G25" i="1"/>
  <c r="G26" i="1"/>
  <c r="G16" i="1"/>
  <c r="G15" i="1"/>
  <c r="G21" i="1"/>
  <c r="G10" i="1"/>
  <c r="G9" i="1"/>
  <c r="G32" i="1"/>
  <c r="G31" i="1"/>
  <c r="G42" i="1"/>
  <c r="G41" i="1"/>
  <c r="G30" i="1"/>
  <c r="G29" i="1"/>
  <c r="G24" i="1"/>
  <c r="G23" i="1"/>
  <c r="G22" i="1"/>
  <c r="G12" i="1"/>
  <c r="G11" i="1"/>
  <c r="G18" i="1"/>
  <c r="G17" i="1"/>
  <c r="K79" i="12" l="1"/>
  <c r="K80" i="12"/>
  <c r="K81" i="12"/>
  <c r="K78" i="12"/>
  <c r="J79" i="12"/>
  <c r="J80" i="12"/>
  <c r="J81" i="12"/>
  <c r="J78" i="12"/>
  <c r="J12" i="14"/>
  <c r="J75" i="12"/>
  <c r="K75" i="12"/>
  <c r="J76" i="12"/>
  <c r="K76" i="12"/>
  <c r="J77" i="12"/>
  <c r="K77" i="12"/>
  <c r="K74" i="12"/>
  <c r="J74" i="12"/>
  <c r="K67" i="12"/>
  <c r="K68" i="12"/>
  <c r="K69" i="12"/>
  <c r="K66" i="12"/>
  <c r="J67" i="12"/>
  <c r="J68" i="12"/>
  <c r="J69" i="12"/>
  <c r="J66" i="12"/>
  <c r="K15" i="12"/>
  <c r="K16" i="12"/>
  <c r="K17" i="12"/>
  <c r="K14" i="12"/>
  <c r="J15" i="12"/>
  <c r="J16" i="12"/>
  <c r="J17" i="12"/>
  <c r="J14" i="12"/>
  <c r="K11" i="12"/>
  <c r="K12" i="12"/>
  <c r="K13" i="12"/>
  <c r="K10" i="12"/>
  <c r="J11" i="12"/>
  <c r="J12" i="12"/>
  <c r="J13" i="12"/>
  <c r="J10" i="12"/>
  <c r="J2" i="12"/>
  <c r="K4" i="12"/>
  <c r="J4" i="12"/>
  <c r="K5" i="12"/>
  <c r="K3" i="12"/>
  <c r="J5" i="12"/>
  <c r="K2" i="12"/>
  <c r="J3" i="12"/>
  <c r="L56" i="4"/>
  <c r="W54" i="1"/>
  <c r="W57" i="1" s="1"/>
  <c r="S54" i="1"/>
  <c r="S57" i="1" s="1"/>
  <c r="G54" i="5"/>
  <c r="G57" i="5" s="1"/>
  <c r="G54" i="1"/>
  <c r="G57" i="1" s="1"/>
  <c r="K54" i="5"/>
  <c r="K57" i="5" s="1"/>
  <c r="K54" i="1"/>
  <c r="K57" i="1" s="1"/>
  <c r="O54" i="5"/>
  <c r="O57" i="5" s="1"/>
  <c r="O63" i="5" s="1"/>
  <c r="S54" i="5"/>
  <c r="S57" i="5" s="1"/>
  <c r="W54" i="5"/>
  <c r="W57" i="5" s="1"/>
  <c r="W63" i="5" s="1"/>
  <c r="AA54" i="5"/>
  <c r="AA57" i="5" s="1"/>
  <c r="AA63" i="5" s="1"/>
  <c r="O54" i="1"/>
  <c r="O57" i="1" s="1"/>
  <c r="AF56" i="4"/>
  <c r="AF59" i="4" s="1"/>
  <c r="AB56" i="4"/>
  <c r="AB59" i="4" s="1"/>
  <c r="X56" i="4"/>
  <c r="X59" i="4" s="1"/>
  <c r="X61" i="4" s="1"/>
  <c r="T56" i="4"/>
  <c r="T59" i="4" s="1"/>
  <c r="T61" i="4" s="1"/>
  <c r="P56" i="4"/>
  <c r="P59" i="4" s="1"/>
  <c r="P61" i="4" s="1"/>
  <c r="H56" i="4"/>
  <c r="L79" i="12" l="1"/>
  <c r="N79" i="12" s="1"/>
  <c r="P79" i="12" s="1"/>
  <c r="L81" i="12"/>
  <c r="N81" i="12" s="1"/>
  <c r="P81" i="12" s="1"/>
  <c r="L80" i="12"/>
  <c r="L78" i="12"/>
  <c r="N78" i="12" s="1"/>
  <c r="P78" i="12" s="1"/>
  <c r="K63" i="5"/>
  <c r="N80" i="12"/>
  <c r="P80" i="12" s="1"/>
  <c r="L2" i="12"/>
  <c r="N2" i="12" s="1"/>
  <c r="P2" i="12" s="1"/>
  <c r="L76" i="12"/>
  <c r="N76" i="12" s="1"/>
  <c r="P76" i="12" s="1"/>
  <c r="L74" i="12"/>
  <c r="N74" i="12" s="1"/>
  <c r="P74" i="12" s="1"/>
  <c r="L77" i="12"/>
  <c r="N77" i="12" s="1"/>
  <c r="P77" i="12" s="1"/>
  <c r="L75" i="12"/>
  <c r="N75" i="12" s="1"/>
  <c r="P75" i="12" s="1"/>
  <c r="L3" i="12"/>
  <c r="N3" i="12" s="1"/>
  <c r="P3" i="12" s="1"/>
  <c r="L15" i="12"/>
  <c r="N15" i="12" s="1"/>
  <c r="P15" i="12" s="1"/>
  <c r="L17" i="12"/>
  <c r="N17" i="12" s="1"/>
  <c r="P17" i="12" s="1"/>
  <c r="L11" i="12"/>
  <c r="N11" i="12" s="1"/>
  <c r="P11" i="12" s="1"/>
  <c r="L13" i="12"/>
  <c r="N13" i="12" s="1"/>
  <c r="P13" i="12" s="1"/>
  <c r="L16" i="12"/>
  <c r="N16" i="12" s="1"/>
  <c r="P16" i="12" s="1"/>
  <c r="L14" i="12"/>
  <c r="N14" i="12" s="1"/>
  <c r="P14" i="12" s="1"/>
  <c r="L12" i="12"/>
  <c r="N12" i="12" s="1"/>
  <c r="P12" i="12" s="1"/>
  <c r="L10" i="12"/>
  <c r="N10" i="12" s="1"/>
  <c r="P10" i="12" s="1"/>
  <c r="L4" i="12"/>
  <c r="N4" i="12" s="1"/>
  <c r="P4" i="12" s="1"/>
  <c r="L5" i="12"/>
  <c r="N5" i="12" s="1"/>
  <c r="P5" i="12" s="1"/>
  <c r="P93" i="12" s="1"/>
  <c r="J13" i="14"/>
  <c r="L67" i="12"/>
  <c r="N67" i="12" s="1"/>
  <c r="P67" i="12" s="1"/>
  <c r="L68" i="12"/>
  <c r="N68" i="12" s="1"/>
  <c r="P68" i="12" s="1"/>
  <c r="L69" i="12"/>
  <c r="N69" i="12" s="1"/>
  <c r="P69" i="12" s="1"/>
  <c r="L66" i="12"/>
  <c r="N66" i="12" s="1"/>
  <c r="P66" i="12" s="1"/>
  <c r="AB63" i="4"/>
  <c r="AF63" i="4"/>
  <c r="S63" i="5"/>
  <c r="AF61" i="4"/>
  <c r="AB61" i="4"/>
  <c r="L59" i="4"/>
  <c r="H59" i="4"/>
  <c r="H61" i="4" s="1"/>
  <c r="W63" i="1"/>
  <c r="S63" i="1"/>
  <c r="T63" i="4"/>
  <c r="X63" i="4"/>
  <c r="R66" i="12" l="1"/>
  <c r="R14" i="12"/>
  <c r="R10" i="12"/>
  <c r="R78" i="12"/>
  <c r="R2" i="12"/>
  <c r="R74" i="12"/>
  <c r="P91" i="12"/>
  <c r="P92" i="12"/>
  <c r="J14" i="14"/>
  <c r="L61" i="4"/>
  <c r="L63" i="4"/>
  <c r="P63" i="4"/>
  <c r="J15" i="14" l="1"/>
  <c r="J21" i="12" l="1"/>
  <c r="J19" i="12"/>
  <c r="K8" i="12"/>
  <c r="K19" i="12"/>
  <c r="L19" i="12" s="1"/>
  <c r="N19" i="12" s="1"/>
  <c r="P19" i="12" s="1"/>
  <c r="J8" i="12"/>
  <c r="J52" i="12"/>
  <c r="J51" i="12"/>
  <c r="J50" i="12"/>
  <c r="J49" i="12"/>
  <c r="J48" i="12"/>
  <c r="J47" i="12"/>
  <c r="J46" i="12"/>
  <c r="K44" i="12"/>
  <c r="K43" i="12"/>
  <c r="K38" i="12"/>
  <c r="J40" i="12"/>
  <c r="K37" i="12"/>
  <c r="K33" i="12"/>
  <c r="J31" i="12"/>
  <c r="K28" i="12"/>
  <c r="J25" i="12"/>
  <c r="J23" i="12"/>
  <c r="K35" i="12"/>
  <c r="J6" i="12"/>
  <c r="K73" i="12"/>
  <c r="J73" i="12"/>
  <c r="K72" i="12"/>
  <c r="J72" i="12"/>
  <c r="K71" i="12"/>
  <c r="J71" i="12"/>
  <c r="K70" i="12"/>
  <c r="J70" i="12"/>
  <c r="K27" i="12"/>
  <c r="K65" i="12"/>
  <c r="J65" i="12"/>
  <c r="K64" i="12"/>
  <c r="J26" i="12"/>
  <c r="K85" i="12"/>
  <c r="J85" i="12"/>
  <c r="K84" i="12"/>
  <c r="J84" i="12"/>
  <c r="L84" i="12" s="1"/>
  <c r="N84" i="12" s="1"/>
  <c r="P84" i="12" s="1"/>
  <c r="K83" i="12"/>
  <c r="J83" i="12"/>
  <c r="K82" i="12"/>
  <c r="J82" i="12"/>
  <c r="K39" i="12"/>
  <c r="J36" i="12"/>
  <c r="K32" i="12"/>
  <c r="J30" i="12"/>
  <c r="K26" i="12"/>
  <c r="K23" i="12"/>
  <c r="K20" i="12"/>
  <c r="K9" i="12"/>
  <c r="J64" i="12"/>
  <c r="K63" i="12"/>
  <c r="J63" i="12"/>
  <c r="K62" i="12"/>
  <c r="J62" i="12"/>
  <c r="K61" i="12"/>
  <c r="J61" i="12"/>
  <c r="K60" i="12"/>
  <c r="J60" i="12"/>
  <c r="K59" i="12"/>
  <c r="J59" i="12"/>
  <c r="K58" i="12"/>
  <c r="J58" i="12"/>
  <c r="K57" i="12"/>
  <c r="J57" i="12"/>
  <c r="K56" i="12"/>
  <c r="J56" i="12"/>
  <c r="K55" i="12"/>
  <c r="J55" i="12"/>
  <c r="K54" i="12"/>
  <c r="J54" i="12"/>
  <c r="K53" i="12"/>
  <c r="J53" i="12"/>
  <c r="K52" i="12"/>
  <c r="K51" i="12"/>
  <c r="K50" i="12"/>
  <c r="K49" i="12"/>
  <c r="K48" i="12"/>
  <c r="K47" i="12"/>
  <c r="K46" i="12"/>
  <c r="J45" i="12"/>
  <c r="J44" i="12"/>
  <c r="K42" i="12"/>
  <c r="J41" i="12"/>
  <c r="J39" i="12"/>
  <c r="K36" i="12"/>
  <c r="K34" i="12"/>
  <c r="J33" i="12"/>
  <c r="K29" i="12"/>
  <c r="J27" i="12"/>
  <c r="J24" i="12"/>
  <c r="J22" i="12"/>
  <c r="J20" i="12"/>
  <c r="J18" i="12"/>
  <c r="K7" i="12"/>
  <c r="K25" i="12"/>
  <c r="K22" i="12"/>
  <c r="K6" i="12"/>
  <c r="J43" i="12"/>
  <c r="K40" i="12"/>
  <c r="J37" i="12"/>
  <c r="J35" i="12"/>
  <c r="K31" i="12"/>
  <c r="J42" i="12"/>
  <c r="K41" i="12"/>
  <c r="J38" i="12"/>
  <c r="J34" i="12"/>
  <c r="J32" i="12"/>
  <c r="J29" i="12"/>
  <c r="K45" i="12"/>
  <c r="K30" i="12"/>
  <c r="J28" i="12"/>
  <c r="K24" i="12"/>
  <c r="K21" i="12"/>
  <c r="K18" i="12"/>
  <c r="J9" i="12"/>
  <c r="J7" i="12"/>
  <c r="L8" i="12" l="1"/>
  <c r="N8" i="12" s="1"/>
  <c r="P8" i="12" s="1"/>
  <c r="L26" i="12"/>
  <c r="N26" i="12" s="1"/>
  <c r="P26" i="12" s="1"/>
  <c r="L21" i="12"/>
  <c r="N21" i="12" s="1"/>
  <c r="P21" i="12" s="1"/>
  <c r="L22" i="12"/>
  <c r="N22" i="12" s="1"/>
  <c r="P22" i="12" s="1"/>
  <c r="L35" i="12"/>
  <c r="N35" i="12" s="1"/>
  <c r="P35" i="12" s="1"/>
  <c r="L45" i="12"/>
  <c r="N45" i="12" s="1"/>
  <c r="P45" i="12" s="1"/>
  <c r="L23" i="12"/>
  <c r="N23" i="12" s="1"/>
  <c r="P23" i="12" s="1"/>
  <c r="L52" i="12"/>
  <c r="N52" i="12" s="1"/>
  <c r="P52" i="12" s="1"/>
  <c r="L51" i="12"/>
  <c r="N51" i="12" s="1"/>
  <c r="P51" i="12" s="1"/>
  <c r="L50" i="12"/>
  <c r="N50" i="12" s="1"/>
  <c r="P50" i="12" s="1"/>
  <c r="L49" i="12"/>
  <c r="N49" i="12" s="1"/>
  <c r="P49" i="12" s="1"/>
  <c r="L48" i="12"/>
  <c r="N48" i="12" s="1"/>
  <c r="P48" i="12" s="1"/>
  <c r="L47" i="12"/>
  <c r="N47" i="12" s="1"/>
  <c r="P47" i="12" s="1"/>
  <c r="L46" i="12"/>
  <c r="N46" i="12" s="1"/>
  <c r="P46" i="12" s="1"/>
  <c r="L44" i="12"/>
  <c r="N44" i="12" s="1"/>
  <c r="P44" i="12" s="1"/>
  <c r="L33" i="12"/>
  <c r="L25" i="12"/>
  <c r="N25" i="12" s="1"/>
  <c r="P25" i="12" s="1"/>
  <c r="L43" i="12"/>
  <c r="N43" i="12" s="1"/>
  <c r="P43" i="12" s="1"/>
  <c r="L40" i="12"/>
  <c r="N40" i="12" s="1"/>
  <c r="P40" i="12" s="1"/>
  <c r="L37" i="12"/>
  <c r="N37" i="12" s="1"/>
  <c r="P37" i="12" s="1"/>
  <c r="L31" i="12"/>
  <c r="L38" i="12"/>
  <c r="N38" i="12" s="1"/>
  <c r="P38" i="12" s="1"/>
  <c r="L28" i="12"/>
  <c r="N28" i="12" s="1"/>
  <c r="P28" i="12" s="1"/>
  <c r="L73" i="12"/>
  <c r="N73" i="12" s="1"/>
  <c r="P73" i="12" s="1"/>
  <c r="L9" i="12"/>
  <c r="N9" i="12" s="1"/>
  <c r="P9" i="12" s="1"/>
  <c r="L65" i="12"/>
  <c r="N65" i="12" s="1"/>
  <c r="P65" i="12" s="1"/>
  <c r="L85" i="12"/>
  <c r="N85" i="12" s="1"/>
  <c r="P85" i="12" s="1"/>
  <c r="L41" i="12"/>
  <c r="N41" i="12" s="1"/>
  <c r="P41" i="12" s="1"/>
  <c r="L72" i="12"/>
  <c r="N72" i="12" s="1"/>
  <c r="P72" i="12" s="1"/>
  <c r="L71" i="12"/>
  <c r="N71" i="12" s="1"/>
  <c r="P71" i="12" s="1"/>
  <c r="L70" i="12"/>
  <c r="N70" i="12" s="1"/>
  <c r="P70" i="12" s="1"/>
  <c r="L64" i="12"/>
  <c r="N64" i="12" s="1"/>
  <c r="P64" i="12" s="1"/>
  <c r="L63" i="12"/>
  <c r="N63" i="12" s="1"/>
  <c r="P63" i="12" s="1"/>
  <c r="L62" i="12"/>
  <c r="N62" i="12" s="1"/>
  <c r="P62" i="12" s="1"/>
  <c r="L61" i="12"/>
  <c r="N61" i="12" s="1"/>
  <c r="P61" i="12" s="1"/>
  <c r="L60" i="12"/>
  <c r="N60" i="12" s="1"/>
  <c r="P60" i="12" s="1"/>
  <c r="L58" i="12"/>
  <c r="N58" i="12" s="1"/>
  <c r="P58" i="12" s="1"/>
  <c r="L56" i="12"/>
  <c r="N56" i="12" s="1"/>
  <c r="P56" i="12" s="1"/>
  <c r="L55" i="12"/>
  <c r="N55" i="12" s="1"/>
  <c r="P55" i="12" s="1"/>
  <c r="L54" i="12"/>
  <c r="N54" i="12" s="1"/>
  <c r="P54" i="12" s="1"/>
  <c r="L53" i="12"/>
  <c r="N53" i="12" s="1"/>
  <c r="P53" i="12" s="1"/>
  <c r="L6" i="12"/>
  <c r="N6" i="12" s="1"/>
  <c r="P6" i="12" s="1"/>
  <c r="L82" i="12"/>
  <c r="N82" i="12" s="1"/>
  <c r="P82" i="12" s="1"/>
  <c r="P86" i="12" s="1"/>
  <c r="L36" i="12"/>
  <c r="N36" i="12" s="1"/>
  <c r="P36" i="12" s="1"/>
  <c r="L27" i="12"/>
  <c r="N27" i="12" s="1"/>
  <c r="P27" i="12" s="1"/>
  <c r="L7" i="12"/>
  <c r="N7" i="12" s="1"/>
  <c r="P7" i="12" s="1"/>
  <c r="L30" i="12"/>
  <c r="L83" i="12"/>
  <c r="N83" i="12" s="1"/>
  <c r="P83" i="12" s="1"/>
  <c r="L39" i="12"/>
  <c r="N39" i="12" s="1"/>
  <c r="P39" i="12" s="1"/>
  <c r="L32" i="12"/>
  <c r="L42" i="12"/>
  <c r="N42" i="12" s="1"/>
  <c r="P42" i="12" s="1"/>
  <c r="L29" i="12"/>
  <c r="N29" i="12" s="1"/>
  <c r="P29" i="12" s="1"/>
  <c r="L24" i="12"/>
  <c r="N24" i="12" s="1"/>
  <c r="P24" i="12" s="1"/>
  <c r="L18" i="12"/>
  <c r="N18" i="12" s="1"/>
  <c r="P18" i="12" s="1"/>
  <c r="L59" i="12"/>
  <c r="N59" i="12" s="1"/>
  <c r="P59" i="12" s="1"/>
  <c r="L20" i="12"/>
  <c r="N20" i="12" s="1"/>
  <c r="P20" i="12" s="1"/>
  <c r="L57" i="12"/>
  <c r="N57" i="12" s="1"/>
  <c r="P57" i="12" s="1"/>
  <c r="L34" i="12"/>
  <c r="N34" i="12" s="1"/>
  <c r="P34" i="12" s="1"/>
  <c r="R46" i="12" l="1"/>
  <c r="P33" i="12"/>
  <c r="N33" i="12"/>
  <c r="R70" i="12"/>
  <c r="R50" i="12"/>
  <c r="R42" i="12"/>
  <c r="R22" i="12"/>
  <c r="P31" i="12"/>
  <c r="N31" i="12"/>
  <c r="R82" i="12"/>
  <c r="R38" i="12"/>
  <c r="R26" i="12"/>
  <c r="P90" i="12"/>
  <c r="R58" i="12"/>
  <c r="R6" i="12"/>
  <c r="P88" i="12"/>
  <c r="R54" i="12"/>
  <c r="P89" i="12"/>
  <c r="R62" i="12"/>
  <c r="P30" i="12"/>
  <c r="N30" i="12"/>
  <c r="N32" i="12"/>
  <c r="P32" i="12"/>
  <c r="R18" i="12"/>
  <c r="R34" i="12"/>
  <c r="W91" i="12" a="1"/>
  <c r="W91" i="12" s="1"/>
  <c r="P87" i="12"/>
  <c r="R30" i="12" l="1"/>
  <c r="P94" i="12"/>
  <c r="P96" i="12" s="1"/>
  <c r="C2" i="17" l="1" a="1"/>
  <c r="R96" i="12"/>
  <c r="R97" i="12" s="1"/>
  <c r="T15" i="17" l="1"/>
  <c r="T14" i="17"/>
  <c r="T12" i="17"/>
  <c r="T10" i="17"/>
  <c r="M14" i="17"/>
  <c r="M10" i="17"/>
  <c r="Q7" i="17"/>
  <c r="M35" i="17"/>
  <c r="M33" i="17"/>
  <c r="M27" i="17"/>
  <c r="M22" i="17"/>
  <c r="T43" i="17"/>
  <c r="T42" i="17"/>
  <c r="M8" i="17"/>
  <c r="T33" i="17"/>
  <c r="T29" i="17"/>
  <c r="T25" i="17"/>
  <c r="T23" i="17"/>
  <c r="T18" i="17"/>
  <c r="T16" i="17"/>
  <c r="T11" i="17"/>
  <c r="T9" i="17"/>
  <c r="T7" i="17"/>
  <c r="T3" i="17"/>
  <c r="C2" i="17"/>
  <c r="Q11" i="17"/>
  <c r="Q19" i="17"/>
  <c r="Q29" i="17"/>
  <c r="Q35" i="17"/>
  <c r="Q41" i="17"/>
  <c r="L8" i="17"/>
  <c r="L3" i="17"/>
  <c r="L21" i="17"/>
  <c r="L17" i="17"/>
  <c r="L15" i="17"/>
  <c r="L35" i="17"/>
  <c r="L30" i="17"/>
  <c r="L26" i="17"/>
  <c r="L25" i="17"/>
  <c r="L41" i="17"/>
  <c r="L38" i="17"/>
  <c r="T8" i="17"/>
  <c r="T6" i="17"/>
  <c r="T4" i="17"/>
  <c r="Q3" i="17"/>
  <c r="Q5" i="17"/>
  <c r="Q9" i="17"/>
  <c r="Q13" i="17"/>
  <c r="Q17" i="17"/>
  <c r="Q21" i="17"/>
  <c r="Q25" i="17"/>
  <c r="Q27" i="17"/>
  <c r="Q33" i="17"/>
  <c r="Q37" i="17"/>
  <c r="L12" i="17"/>
  <c r="L10" i="17"/>
  <c r="L9" i="17"/>
  <c r="L7" i="17"/>
  <c r="L5" i="17"/>
  <c r="L4" i="17"/>
  <c r="L23" i="17"/>
  <c r="L22" i="17"/>
  <c r="L20" i="17"/>
  <c r="L18" i="17"/>
  <c r="L14" i="17"/>
  <c r="L34" i="17"/>
  <c r="L32" i="17"/>
  <c r="L31" i="17"/>
  <c r="L29" i="17"/>
  <c r="L24" i="17"/>
  <c r="L42" i="17"/>
  <c r="L2" i="17"/>
  <c r="M2" i="17"/>
  <c r="M18" i="17"/>
  <c r="M16" i="17"/>
  <c r="M15" i="17"/>
  <c r="M13" i="17"/>
  <c r="M12" i="17"/>
  <c r="M9" i="17"/>
  <c r="M7" i="17"/>
  <c r="M6" i="17"/>
  <c r="M4" i="17"/>
  <c r="M43" i="17"/>
  <c r="M42" i="17"/>
  <c r="M40" i="17"/>
  <c r="M38" i="17"/>
  <c r="Q43" i="17"/>
  <c r="L36" i="17"/>
  <c r="L27" i="17"/>
  <c r="L40" i="17"/>
  <c r="M36" i="17"/>
  <c r="M34" i="17"/>
  <c r="M32" i="17"/>
  <c r="M30" i="17"/>
  <c r="M28" i="17"/>
  <c r="M25" i="17"/>
  <c r="M23" i="17"/>
  <c r="T2" i="17"/>
  <c r="T41" i="17"/>
  <c r="T39" i="17"/>
  <c r="T37" i="17"/>
  <c r="T35" i="17"/>
  <c r="T34" i="17"/>
  <c r="T32" i="17"/>
  <c r="T30" i="17"/>
  <c r="T28" i="17"/>
  <c r="T26" i="17"/>
  <c r="T24" i="17"/>
  <c r="T22" i="17"/>
  <c r="T20" i="17"/>
  <c r="T17" i="17"/>
  <c r="M20" i="17"/>
  <c r="M19" i="17"/>
  <c r="M17" i="17"/>
  <c r="M11" i="17"/>
  <c r="M5" i="17"/>
  <c r="M3" i="17"/>
  <c r="M41" i="17"/>
  <c r="M39" i="17"/>
  <c r="M37" i="17"/>
  <c r="M31" i="17"/>
  <c r="M29" i="17"/>
  <c r="M26" i="17"/>
  <c r="M24" i="17"/>
  <c r="M21" i="17"/>
  <c r="T40" i="17"/>
  <c r="T36" i="17"/>
  <c r="T31" i="17"/>
  <c r="T27" i="17"/>
  <c r="T21" i="17"/>
  <c r="T19" i="17"/>
  <c r="T13" i="17"/>
  <c r="T5" i="17"/>
  <c r="T38" i="17"/>
  <c r="Q15" i="17"/>
  <c r="Q23" i="17"/>
  <c r="Q31" i="17"/>
  <c r="Q39" i="17"/>
  <c r="L13" i="17"/>
  <c r="L11" i="17"/>
  <c r="L6" i="17"/>
  <c r="L19" i="17"/>
  <c r="L16" i="17"/>
  <c r="L37" i="17"/>
  <c r="L33" i="17"/>
  <c r="L28" i="17"/>
  <c r="L43" i="17"/>
  <c r="L39" i="17"/>
  <c r="L44" i="17" l="1"/>
  <c r="L47" i="1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3B65BD-4178-4841-9227-1B44FA377ED5}" keepAlive="1" name="Consulta - Page001" description="Conexión a la consulta 'Page001' en el libro." type="5" refreshedVersion="8" background="1" saveData="1">
    <dbPr connection="Provider=Microsoft.Mashup.OleDb.1;Data Source=$Workbook$;Location=Page001;Extended Properties=&quot;&quot;" command="SELECT * FROM [Page001]"/>
  </connection>
  <connection id="2" xr16:uid="{5128AF55-5FFF-4C2B-9B78-9A548B25FD57}" keepAlive="1" name="Consulta - Page002" description="Conexión a la consulta 'Page002' en el libro." type="5" refreshedVersion="8" background="1" saveData="1">
    <dbPr connection="Provider=Microsoft.Mashup.OleDb.1;Data Source=$Workbook$;Location=Page002;Extended Properties=&quot;&quot;" command="SELECT * FROM [Page002]"/>
  </connection>
  <connection id="3" xr16:uid="{2355DCE3-8FF7-4EF5-8B76-2077F51F6529}" keepAlive="1" name="Consulta - Table001 (Page 1)" description="Conexión a la consulta 'Table001 (Page 1)' en el libro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4" xr16:uid="{185C2682-891F-41D5-B62C-AA8DE652A599}" keepAlive="1" name="Consulta - Table003 (Page 2)" description="Conexión a la consulta 'Table003 (Page 2)' en el libro." type="5" refreshedVersion="8" background="1" saveData="1">
    <dbPr connection="Provider=Microsoft.Mashup.OleDb.1;Data Source=$Workbook$;Location=&quot;Table003 (Page 2)&quot;;Extended Properties=&quot;&quot;" command="SELECT * FROM [Table003 (Page 2)]"/>
  </connection>
  <connection id="5" xr16:uid="{FD23A971-24B3-4FA9-9D6A-7C1AF05F2200}" keepAlive="1" name="Consulta - Table004 (Page 2)" description="Conexión a la consulta 'Table004 (Page 2)' en el libro." type="5" refreshedVersion="8" background="1" saveData="1">
    <dbPr connection="Provider=Microsoft.Mashup.OleDb.1;Data Source=$Workbook$;Location=&quot;Table004 (Page 2)&quot;;Extended Properties=&quot;&quot;" command="SELECT * FROM [Table004 (Page 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<sst xmlns="http://schemas.openxmlformats.org/spreadsheetml/2006/main" count="2297" uniqueCount="298">
  <si>
    <t>UBICACION / AREA</t>
  </si>
  <si>
    <t>SERIE DE EQUIPO</t>
  </si>
  <si>
    <t>Asistente Gerencia General</t>
  </si>
  <si>
    <t>X3B7003659</t>
  </si>
  <si>
    <t>Banquetes</t>
  </si>
  <si>
    <t>X3B7003739</t>
  </si>
  <si>
    <t>Bodegas</t>
  </si>
  <si>
    <t>X3B7003712</t>
  </si>
  <si>
    <t>C&amp;M Oficina</t>
  </si>
  <si>
    <t>X3B7003581</t>
  </si>
  <si>
    <t>Disponible</t>
  </si>
  <si>
    <t>X3B7003661</t>
  </si>
  <si>
    <t>No se usa</t>
  </si>
  <si>
    <t>Compras</t>
  </si>
  <si>
    <t>X3B7003671</t>
  </si>
  <si>
    <t>Concierge</t>
  </si>
  <si>
    <t>X3B7003656</t>
  </si>
  <si>
    <t>Cuadres</t>
  </si>
  <si>
    <t>X3B7003690</t>
  </si>
  <si>
    <t>GYM</t>
  </si>
  <si>
    <t>X3B7003703</t>
  </si>
  <si>
    <t>Housekeeping</t>
  </si>
  <si>
    <t>X3B7003751</t>
  </si>
  <si>
    <t>X3B7003615</t>
  </si>
  <si>
    <t>Limpieza</t>
  </si>
  <si>
    <t>X3B7003716</t>
  </si>
  <si>
    <t>Oficina de Recepción</t>
  </si>
  <si>
    <t>X3B7003711</t>
  </si>
  <si>
    <t>X3B7003828</t>
  </si>
  <si>
    <t>Reservas</t>
  </si>
  <si>
    <t>X3B7003944</t>
  </si>
  <si>
    <t>Room Service</t>
  </si>
  <si>
    <t>X3B7003660</t>
  </si>
  <si>
    <t>Talento y Cultura</t>
  </si>
  <si>
    <t>X3B7003609</t>
  </si>
  <si>
    <t>AyB</t>
  </si>
  <si>
    <t>MXC300 45000119</t>
  </si>
  <si>
    <t>Ventas - B&amp;N</t>
  </si>
  <si>
    <t>X3B2001312</t>
  </si>
  <si>
    <t>FD 1,2</t>
  </si>
  <si>
    <t>MF426QFX06113</t>
  </si>
  <si>
    <t>FD 3,4</t>
  </si>
  <si>
    <t>MF426QFX06245</t>
  </si>
  <si>
    <t>Contabilidad</t>
  </si>
  <si>
    <t>IR-1730IQFX06246</t>
  </si>
  <si>
    <t>Auditor nocturno</t>
  </si>
  <si>
    <t>MF426QFX06116</t>
  </si>
  <si>
    <t>Cantidad</t>
  </si>
  <si>
    <t>Precio $</t>
  </si>
  <si>
    <t>Total</t>
  </si>
  <si>
    <t>Tipo</t>
  </si>
  <si>
    <t>Colores</t>
  </si>
  <si>
    <t>B/N</t>
  </si>
  <si>
    <t>Color</t>
  </si>
  <si>
    <t>TOTAL COPIAS</t>
  </si>
  <si>
    <t xml:space="preserve">TOTAL RENTA </t>
  </si>
  <si>
    <t>FACTURACION</t>
  </si>
  <si>
    <t>REPORTE DE COPIAS - REPRODATA 2021-2022</t>
  </si>
  <si>
    <t>RENTA OCT 21</t>
  </si>
  <si>
    <t>RENTA NOV 21</t>
  </si>
  <si>
    <t>CAMBIO DE CONTRATO</t>
  </si>
  <si>
    <t>DIF</t>
  </si>
  <si>
    <t>FACTURA FISICA</t>
  </si>
  <si>
    <t>ANTIGUA</t>
  </si>
  <si>
    <t>ACTUAL</t>
  </si>
  <si>
    <t>CONCEPTO</t>
  </si>
  <si>
    <t>ALQUILER</t>
  </si>
  <si>
    <t>MODELO WF-5790 - BN</t>
  </si>
  <si>
    <t>MODELO WF-5790 - COLOR</t>
  </si>
  <si>
    <t>MODELO IR-1730i</t>
  </si>
  <si>
    <t>MODELO MXC-300A - BN</t>
  </si>
  <si>
    <t>MODELO MXC-300A - COLOR</t>
  </si>
  <si>
    <t>MODELO WF-5710 BN</t>
  </si>
  <si>
    <t>MODELO WF-5710 COLOR</t>
  </si>
  <si>
    <t>COMPARATIVO FACUTACION FOTOCOPIADORAS 2022</t>
  </si>
  <si>
    <t>COSTO POR COPIA</t>
  </si>
  <si>
    <t>Dif</t>
  </si>
  <si>
    <t>%</t>
  </si>
  <si>
    <t>Promedio</t>
  </si>
  <si>
    <t>CORTE DE 15 A 15 DE CADA MES</t>
  </si>
  <si>
    <t>Monto en Dolares</t>
  </si>
  <si>
    <t>Cuenta</t>
  </si>
  <si>
    <t>Centro de Costo</t>
  </si>
  <si>
    <t>EQUIPO</t>
  </si>
  <si>
    <t>FORMATOS</t>
  </si>
  <si>
    <t>MONTO TOTAL EXCEDENTE</t>
  </si>
  <si>
    <t>GRUPO: SIN BOLSA SEGUN CONTRATO VIGENTE</t>
  </si>
  <si>
    <t>X3B7003661 - WF-C5790</t>
  </si>
  <si>
    <t>A4BN</t>
  </si>
  <si>
    <t>0</t>
  </si>
  <si>
    <t>0.0168</t>
  </si>
  <si>
    <t>AV. VIA CENTRAL 190 CENTRO EMPRESARIAL</t>
  </si>
  <si>
    <t>A3BN</t>
  </si>
  <si>
    <t>0.0301</t>
  </si>
  <si>
    <t/>
  </si>
  <si>
    <t>A4CL</t>
  </si>
  <si>
    <t>0.0472</t>
  </si>
  <si>
    <t>A3CL</t>
  </si>
  <si>
    <t>0.0906</t>
  </si>
  <si>
    <t>TOTALES</t>
  </si>
  <si>
    <t>9502370Y - MX-M3070 - Bolsa 1</t>
  </si>
  <si>
    <t>AV. SANTO TORIBIO NRO 173 URB ROSARIO (VIA CENTRO</t>
  </si>
  <si>
    <t>QFX06245 - IR-1730 - Bolsa 1</t>
  </si>
  <si>
    <t>X3B7002433 - WF-C5790 - Bolsa 2</t>
  </si>
  <si>
    <t>X3B7003876 - WF-C5790 - Bolsa 2</t>
  </si>
  <si>
    <t>X3B7003659 - WF-C5790 - Bolsa 2</t>
  </si>
  <si>
    <t>X3B7003660 - WF-C5790 - Bolsa 2</t>
  </si>
  <si>
    <t>X3B7003671 - WF-C5790 - Bolsa 2</t>
  </si>
  <si>
    <t>X3B7003703 - WF-C5790 - Bolsa 2</t>
  </si>
  <si>
    <t>X3B7003711 - WF-C5790 - Bolsa 2</t>
  </si>
  <si>
    <t>X3B7003739 - WF-C5790 - Bolsa 2</t>
  </si>
  <si>
    <t>XBJZ017602 - WF-C5890 - Bolsa 3</t>
  </si>
  <si>
    <t>XBJZ017603 - WF-C5890 - Bolsa 3</t>
  </si>
  <si>
    <t>XBJZ017266 - WF-C5890 - Bolsa 3</t>
  </si>
  <si>
    <t>XBJZ021772 - WF-C5890 - Bolsa 3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</si>
  <si>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</si>
  <si>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</si>
  <si>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</si>
  <si>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</si>
  <si>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</si>
  <si>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</si>
  <si>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</si>
  <si>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</si>
  <si>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</si>
  <si>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XBJZ021745 - WF-C5890 - Bolsa 3</t>
  </si>
  <si>
    <t>XBJZ027512 - WF-C5890 - Bolsa 3</t>
  </si>
  <si>
    <t>35009304 - MX-3070 - Bolsa 4</t>
  </si>
  <si>
    <t>35E33608 - IR-1643 - Bolsa 1</t>
  </si>
  <si>
    <t>AV. SANTO TORIBIO NRO 173 URB ROSARIO (V</t>
  </si>
  <si>
    <t>35E33607 - IR-1643 - Bolsa 1</t>
  </si>
  <si>
    <t>RJQ00596 - IR-C3330 - Bolsa 5</t>
  </si>
  <si>
    <t>BOLSA N° #1</t>
  </si>
  <si>
    <t>VOLUMEN MAXIMO ESTABLECIDO</t>
  </si>
  <si>
    <t>VOLUMEN EXCEDENTE A LO ESTABLECIDO</t>
  </si>
  <si>
    <t>VALOR UNIDAD EXCEDENTE</t>
  </si>
  <si>
    <t>13000</t>
  </si>
  <si>
    <t>30216</t>
  </si>
  <si>
    <t>507.63</t>
  </si>
  <si>
    <t>0.00</t>
  </si>
  <si>
    <t>BOLSA N° #2</t>
  </si>
  <si>
    <t>1504</t>
  </si>
  <si>
    <t>8063</t>
  </si>
  <si>
    <t>135.46</t>
  </si>
  <si>
    <t>4504</t>
  </si>
  <si>
    <t>4946</t>
  </si>
  <si>
    <t>233.45</t>
  </si>
  <si>
    <t>BOLSA N° #3</t>
  </si>
  <si>
    <t>1128</t>
  </si>
  <si>
    <t>3002</t>
  </si>
  <si>
    <t>50.43</t>
  </si>
  <si>
    <t>3378</t>
  </si>
  <si>
    <t>11416</t>
  </si>
  <si>
    <t>538.84</t>
  </si>
  <si>
    <t>BOLSA N° #4</t>
  </si>
  <si>
    <t>188</t>
  </si>
  <si>
    <t>3655</t>
  </si>
  <si>
    <t>61.40</t>
  </si>
  <si>
    <t>563</t>
  </si>
  <si>
    <t>BOLSA N° #5</t>
  </si>
  <si>
    <t>167</t>
  </si>
  <si>
    <t>2.81</t>
  </si>
  <si>
    <t>4</t>
  </si>
  <si>
    <t>0.36</t>
  </si>
  <si>
    <t>REPORTE DE COPIAS - REPRODATA 2026-2026</t>
  </si>
  <si>
    <t>Bolsa</t>
  </si>
  <si>
    <t>Marca</t>
  </si>
  <si>
    <t>Modelo</t>
  </si>
  <si>
    <t>S/N</t>
  </si>
  <si>
    <t>IP</t>
  </si>
  <si>
    <t>Observación</t>
  </si>
  <si>
    <t>Cantidad Impresoras</t>
  </si>
  <si>
    <t>Canon</t>
  </si>
  <si>
    <t>RJQ00596</t>
  </si>
  <si>
    <t>10.72.8.203</t>
  </si>
  <si>
    <t>2do Piso - Seguridad</t>
  </si>
  <si>
    <t>QFX06245</t>
  </si>
  <si>
    <t>10.72.8.215</t>
  </si>
  <si>
    <t>2do Piso - Oficina Auditor de Ingresos</t>
  </si>
  <si>
    <t>35E33608</t>
  </si>
  <si>
    <t>10.72.8.211</t>
  </si>
  <si>
    <t>1er Piso - Front Desk - Recepción</t>
  </si>
  <si>
    <t>35E33607</t>
  </si>
  <si>
    <t>10.72.8.153</t>
  </si>
  <si>
    <t>Epson</t>
  </si>
  <si>
    <t>X3B7002433</t>
  </si>
  <si>
    <t>10.72.8.191</t>
  </si>
  <si>
    <t>2do Piso - Oficina Banquetes</t>
  </si>
  <si>
    <t>10.72.8.197</t>
  </si>
  <si>
    <t>3er Piso - Reservas</t>
  </si>
  <si>
    <t>10.72.8.204</t>
  </si>
  <si>
    <t>1er Piso - Room Service</t>
  </si>
  <si>
    <t>10.72.8.132</t>
  </si>
  <si>
    <t>1er Sotano - Steward - Limpieza</t>
  </si>
  <si>
    <t>10.72.8.208</t>
  </si>
  <si>
    <t>1er Piso - Caja Lobby Bar</t>
  </si>
  <si>
    <t>10.9.10.153</t>
  </si>
  <si>
    <t>1er Piso Gym</t>
  </si>
  <si>
    <t>10.72.8.205</t>
  </si>
  <si>
    <t>1er Piso - Recepción - Back Office</t>
  </si>
  <si>
    <t>10.72.10.43</t>
  </si>
  <si>
    <t>1er Piso Compras</t>
  </si>
  <si>
    <t>X3B7003876</t>
  </si>
  <si>
    <t>10.72.8.220</t>
  </si>
  <si>
    <t>1er Piso - Oficina AyB</t>
  </si>
  <si>
    <t>XBJZ017266</t>
  </si>
  <si>
    <t>10.72.8.229</t>
  </si>
  <si>
    <t>1er Sotano - Housekeeping</t>
  </si>
  <si>
    <t>XBJZ017602</t>
  </si>
  <si>
    <t>10.72.8.206</t>
  </si>
  <si>
    <t>1er Piso - Bodega</t>
  </si>
  <si>
    <t>XBJZ017603</t>
  </si>
  <si>
    <t>10.72.8.196</t>
  </si>
  <si>
    <t>1er Piso - Conserge</t>
  </si>
  <si>
    <t>XBJZ021745</t>
  </si>
  <si>
    <t>10.72.8.219</t>
  </si>
  <si>
    <t>1er Piso - Oficina Chef</t>
  </si>
  <si>
    <t>XBJZ021772</t>
  </si>
  <si>
    <t>10.72.8.151</t>
  </si>
  <si>
    <t>3er Piso - Gerencia General</t>
  </si>
  <si>
    <t>XBJZ027512</t>
  </si>
  <si>
    <t>10.72.8.210</t>
  </si>
  <si>
    <t>3er Piso - Ventas</t>
  </si>
  <si>
    <t>Sharp</t>
  </si>
  <si>
    <t>10.72.8.200</t>
  </si>
  <si>
    <t>1er Sotano - RRHH - Sistemas</t>
  </si>
  <si>
    <t>MX-M3070</t>
  </si>
  <si>
    <t>10.72.8.207</t>
  </si>
  <si>
    <t>3er Piso - Contabilidad</t>
  </si>
  <si>
    <t>Volumen Maximo</t>
  </si>
  <si>
    <t>Precio</t>
  </si>
  <si>
    <t>Formatos</t>
  </si>
  <si>
    <t>Bolsa 5</t>
  </si>
  <si>
    <t>IR-C3330</t>
  </si>
  <si>
    <t>[image]</t>
  </si>
  <si>
    <t>CUADRO DE CONSUMO DEL CONTRATO 276580 PERIODO 2026 MES DE MARZO</t>
  </si>
  <si>
    <t>HOTELERA COSTA DEL PACIFICO S.A. -</t>
  </si>
  <si>
    <t>(C20297885538)</t>
  </si>
  <si>
    <t>Column10</t>
  </si>
  <si>
    <t>Column11</t>
  </si>
  <si>
    <t>Column12</t>
  </si>
  <si>
    <t>TOTAL EXCEDENTES</t>
  </si>
  <si>
    <t>$ 1967.74</t>
  </si>
  <si>
    <t>TOTAL RENTA MENSUAL</t>
  </si>
  <si>
    <t>$ 1085.32</t>
  </si>
  <si>
    <t>TOTAL FACTURACIÓN</t>
  </si>
  <si>
    <t>$ 3053.06</t>
  </si>
  <si>
    <t>Column13</t>
  </si>
  <si>
    <t>Bolsa 1</t>
  </si>
  <si>
    <t>IR-1730</t>
  </si>
  <si>
    <t>IR-1643</t>
  </si>
  <si>
    <t>Bolsa 2</t>
  </si>
  <si>
    <t>WF-C5790</t>
  </si>
  <si>
    <t>Bolsa 3</t>
  </si>
  <si>
    <t>WF-C5890</t>
  </si>
  <si>
    <t>MX-3070</t>
  </si>
  <si>
    <t>Bolsa 4</t>
  </si>
  <si>
    <t>9502370Y</t>
  </si>
  <si>
    <t>Consumo del Mes</t>
  </si>
  <si>
    <t>Contador Inicial</t>
  </si>
  <si>
    <t>Contador Final</t>
  </si>
  <si>
    <t>Volumen Maximo Establecido</t>
  </si>
  <si>
    <t>Volumen Excedente</t>
  </si>
  <si>
    <t>Bolsa2</t>
  </si>
  <si>
    <t>Bolsa3</t>
  </si>
  <si>
    <t>Bolsa4</t>
  </si>
  <si>
    <t>Bolsa5</t>
  </si>
  <si>
    <t>ok</t>
  </si>
  <si>
    <t>Bolsa6</t>
  </si>
  <si>
    <t>alquiler fijo</t>
  </si>
  <si>
    <t>centro costo</t>
  </si>
  <si>
    <t>Cuenta de mayor/Nombre SN</t>
  </si>
  <si>
    <t>Cuenta asociada</t>
  </si>
  <si>
    <t>Débito (ME)</t>
  </si>
  <si>
    <t>Crédito (ME)</t>
  </si>
  <si>
    <t>Débito</t>
  </si>
  <si>
    <t>Crédito</t>
  </si>
  <si>
    <t>Débito (MS)</t>
  </si>
  <si>
    <t>Crédito (MS)</t>
  </si>
  <si>
    <t>Comentarios</t>
  </si>
  <si>
    <t>Referencia 1</t>
  </si>
  <si>
    <t>Referencia 2</t>
  </si>
  <si>
    <t>Posición del formulario principal</t>
  </si>
  <si>
    <t>Cuenta destino</t>
  </si>
  <si>
    <t>Cuenta patrimonial</t>
  </si>
  <si>
    <t>Comp. destino</t>
  </si>
  <si>
    <t>Procesado DC</t>
  </si>
  <si>
    <t>Info socio de negocios</t>
  </si>
  <si>
    <t>Info de terceros</t>
  </si>
  <si>
    <t>Tipo doc. - Serie - Numero</t>
  </si>
  <si>
    <t>Socio Negocios</t>
  </si>
  <si>
    <t>Fecha Registro Ventas</t>
  </si>
  <si>
    <t>01-F020-00027840</t>
  </si>
  <si>
    <t>Datos</t>
  </si>
  <si>
    <t>Monto</t>
  </si>
  <si>
    <t>CECO</t>
  </si>
  <si>
    <t>Monto USD</t>
  </si>
  <si>
    <t>FECHA</t>
  </si>
  <si>
    <t xml:space="preserve">X3B7003661 - WF-C5790 -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</si>
</sst>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_-[$$-409]* #,##0.00_ ;_-[$$-409]* \-#,##0.00\ ;_-[$$-409]* &quot;-&quot;??_ ;_-@_ "/>
    <numFmt numFmtId="166" formatCode="_ * #,##0_ ;_ * \-#,##0_ ;_ * &quot;-&quot;??_ ;_ @_ "/>
    <numFmt numFmtId="167" formatCode="_-[$$-409]* #,##0.0000_ ;_-[$$-409]* \-#,##0.0000\ ;_-[$$-409]* &quot;-&quot;??_ ;_-@_ "/>
    <numFmt numFmtId="168" formatCode="0.00_ ;[Red]\-0.00\ "/>
    <numFmt numFmtId="169" formatCode="[$USD]\ #,##0.00;[Red]\-[$USD]\ #,##0.00"/>
    <numFmt numFmtId="170" formatCode="0_ ;[Red]\-0\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theme="3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79FFB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8">
    <xf numFmtId="0" fontId="0" fillId="0" borderId="0" xfId="0"/>
    <xf numFmtId="0" fontId="6" fillId="2" borderId="0" xfId="0" applyFont="1" applyFill="1"/>
    <xf numFmtId="0" fontId="0" fillId="4" borderId="0" xfId="0" applyFill="1"/>
    <xf numFmtId="165" fontId="0" fillId="4" borderId="0" xfId="0" applyNumberFormat="1" applyFill="1"/>
    <xf numFmtId="166" fontId="0" fillId="4" borderId="0" xfId="1" applyNumberFormat="1" applyFont="1" applyFill="1"/>
    <xf numFmtId="0" fontId="0" fillId="4" borderId="2" xfId="0" applyFill="1" applyBorder="1"/>
    <xf numFmtId="0" fontId="0" fillId="4" borderId="3" xfId="0" applyFill="1" applyBorder="1"/>
    <xf numFmtId="165" fontId="0" fillId="4" borderId="4" xfId="0" applyNumberFormat="1" applyFill="1" applyBorder="1"/>
    <xf numFmtId="0" fontId="0" fillId="4" borderId="5" xfId="0" applyFill="1" applyBorder="1"/>
    <xf numFmtId="0" fontId="0" fillId="4" borderId="6" xfId="0" applyFill="1" applyBorder="1"/>
    <xf numFmtId="165" fontId="0" fillId="4" borderId="7" xfId="0" applyNumberFormat="1" applyFill="1" applyBorder="1"/>
    <xf numFmtId="0" fontId="6" fillId="2" borderId="2" xfId="0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0" fontId="6" fillId="2" borderId="7" xfId="0" applyFont="1" applyFill="1" applyBorder="1"/>
    <xf numFmtId="0" fontId="5" fillId="4" borderId="2" xfId="0" applyFont="1" applyFill="1" applyBorder="1"/>
    <xf numFmtId="0" fontId="5" fillId="4" borderId="8" xfId="0" applyFont="1" applyFill="1" applyBorder="1"/>
    <xf numFmtId="0" fontId="5" fillId="4" borderId="5" xfId="0" applyFont="1" applyFill="1" applyBorder="1"/>
    <xf numFmtId="0" fontId="5" fillId="4" borderId="9" xfId="0" applyFont="1" applyFill="1" applyBorder="1"/>
    <xf numFmtId="0" fontId="5" fillId="3" borderId="2" xfId="0" applyFont="1" applyFill="1" applyBorder="1"/>
    <xf numFmtId="0" fontId="5" fillId="3" borderId="5" xfId="0" applyFont="1" applyFill="1" applyBorder="1"/>
    <xf numFmtId="0" fontId="5" fillId="3" borderId="8" xfId="0" applyFont="1" applyFill="1" applyBorder="1"/>
    <xf numFmtId="0" fontId="5" fillId="3" borderId="9" xfId="0" applyFont="1" applyFill="1" applyBorder="1"/>
    <xf numFmtId="0" fontId="5" fillId="5" borderId="2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9" xfId="0" applyFont="1" applyFill="1" applyBorder="1"/>
    <xf numFmtId="0" fontId="5" fillId="5" borderId="10" xfId="0" applyFont="1" applyFill="1" applyBorder="1"/>
    <xf numFmtId="0" fontId="5" fillId="5" borderId="11" xfId="0" applyFont="1" applyFill="1" applyBorder="1"/>
    <xf numFmtId="0" fontId="2" fillId="4" borderId="0" xfId="0" applyFont="1" applyFill="1"/>
    <xf numFmtId="0" fontId="3" fillId="4" borderId="0" xfId="0" applyFont="1" applyFill="1"/>
    <xf numFmtId="0" fontId="3" fillId="4" borderId="2" xfId="0" applyFont="1" applyFill="1" applyBorder="1"/>
    <xf numFmtId="0" fontId="0" fillId="4" borderId="4" xfId="0" applyFill="1" applyBorder="1"/>
    <xf numFmtId="0" fontId="3" fillId="4" borderId="5" xfId="0" applyFont="1" applyFill="1" applyBorder="1"/>
    <xf numFmtId="0" fontId="0" fillId="4" borderId="7" xfId="0" applyFill="1" applyBorder="1"/>
    <xf numFmtId="0" fontId="4" fillId="6" borderId="1" xfId="0" applyFont="1" applyFill="1" applyBorder="1" applyAlignment="1">
      <alignment horizontal="center"/>
    </xf>
    <xf numFmtId="166" fontId="4" fillId="6" borderId="1" xfId="1" applyNumberFormat="1" applyFont="1" applyFill="1" applyBorder="1" applyAlignment="1">
      <alignment horizontal="center"/>
    </xf>
    <xf numFmtId="0" fontId="3" fillId="6" borderId="12" xfId="0" applyFont="1" applyFill="1" applyBorder="1"/>
    <xf numFmtId="166" fontId="3" fillId="6" borderId="13" xfId="1" applyNumberFormat="1" applyFont="1" applyFill="1" applyBorder="1"/>
    <xf numFmtId="0" fontId="3" fillId="6" borderId="13" xfId="0" applyFont="1" applyFill="1" applyBorder="1"/>
    <xf numFmtId="165" fontId="3" fillId="6" borderId="14" xfId="0" applyNumberFormat="1" applyFont="1" applyFill="1" applyBorder="1"/>
    <xf numFmtId="166" fontId="0" fillId="6" borderId="3" xfId="1" applyNumberFormat="1" applyFont="1" applyFill="1" applyBorder="1"/>
    <xf numFmtId="166" fontId="0" fillId="6" borderId="6" xfId="1" applyNumberFormat="1" applyFont="1" applyFill="1" applyBorder="1"/>
    <xf numFmtId="165" fontId="0" fillId="4" borderId="1" xfId="0" applyNumberFormat="1" applyFill="1" applyBorder="1"/>
    <xf numFmtId="0" fontId="7" fillId="4" borderId="0" xfId="0" applyFont="1" applyFill="1"/>
    <xf numFmtId="0" fontId="2" fillId="4" borderId="5" xfId="0" applyFont="1" applyFill="1" applyBorder="1"/>
    <xf numFmtId="0" fontId="2" fillId="4" borderId="6" xfId="0" applyFont="1" applyFill="1" applyBorder="1"/>
    <xf numFmtId="165" fontId="2" fillId="4" borderId="7" xfId="0" applyNumberFormat="1" applyFont="1" applyFill="1" applyBorder="1"/>
    <xf numFmtId="0" fontId="8" fillId="4" borderId="0" xfId="0" applyFont="1" applyFill="1"/>
    <xf numFmtId="0" fontId="8" fillId="4" borderId="2" xfId="0" applyFont="1" applyFill="1" applyBorder="1"/>
    <xf numFmtId="0" fontId="8" fillId="4" borderId="8" xfId="0" applyFont="1" applyFill="1" applyBorder="1"/>
    <xf numFmtId="0" fontId="8" fillId="4" borderId="3" xfId="0" applyFont="1" applyFill="1" applyBorder="1"/>
    <xf numFmtId="166" fontId="8" fillId="6" borderId="3" xfId="1" applyNumberFormat="1" applyFont="1" applyFill="1" applyBorder="1"/>
    <xf numFmtId="165" fontId="8" fillId="4" borderId="4" xfId="0" applyNumberFormat="1" applyFont="1" applyFill="1" applyBorder="1"/>
    <xf numFmtId="0" fontId="8" fillId="0" borderId="0" xfId="0" applyFont="1"/>
    <xf numFmtId="0" fontId="8" fillId="4" borderId="5" xfId="0" applyFont="1" applyFill="1" applyBorder="1"/>
    <xf numFmtId="0" fontId="8" fillId="4" borderId="9" xfId="0" applyFont="1" applyFill="1" applyBorder="1"/>
    <xf numFmtId="0" fontId="8" fillId="4" borderId="6" xfId="0" applyFont="1" applyFill="1" applyBorder="1"/>
    <xf numFmtId="166" fontId="8" fillId="6" borderId="6" xfId="1" applyNumberFormat="1" applyFont="1" applyFill="1" applyBorder="1"/>
    <xf numFmtId="165" fontId="8" fillId="4" borderId="7" xfId="0" applyNumberFormat="1" applyFont="1" applyFill="1" applyBorder="1"/>
    <xf numFmtId="0" fontId="9" fillId="4" borderId="0" xfId="0" applyFont="1" applyFill="1"/>
    <xf numFmtId="0" fontId="9" fillId="4" borderId="2" xfId="0" applyFont="1" applyFill="1" applyBorder="1"/>
    <xf numFmtId="0" fontId="9" fillId="4" borderId="8" xfId="0" applyFont="1" applyFill="1" applyBorder="1"/>
    <xf numFmtId="0" fontId="9" fillId="4" borderId="3" xfId="0" applyFont="1" applyFill="1" applyBorder="1"/>
    <xf numFmtId="166" fontId="9" fillId="6" borderId="3" xfId="1" applyNumberFormat="1" applyFont="1" applyFill="1" applyBorder="1"/>
    <xf numFmtId="165" fontId="9" fillId="4" borderId="4" xfId="0" applyNumberFormat="1" applyFont="1" applyFill="1" applyBorder="1"/>
    <xf numFmtId="0" fontId="9" fillId="0" borderId="0" xfId="0" applyFont="1"/>
    <xf numFmtId="0" fontId="9" fillId="4" borderId="5" xfId="0" applyFont="1" applyFill="1" applyBorder="1"/>
    <xf numFmtId="0" fontId="9" fillId="4" borderId="9" xfId="0" applyFont="1" applyFill="1" applyBorder="1"/>
    <xf numFmtId="0" fontId="9" fillId="4" borderId="6" xfId="0" applyFont="1" applyFill="1" applyBorder="1"/>
    <xf numFmtId="166" fontId="9" fillId="6" borderId="6" xfId="1" applyNumberFormat="1" applyFont="1" applyFill="1" applyBorder="1"/>
    <xf numFmtId="165" fontId="9" fillId="4" borderId="7" xfId="0" applyNumberFormat="1" applyFont="1" applyFill="1" applyBorder="1"/>
    <xf numFmtId="9" fontId="0" fillId="4" borderId="0" xfId="2" applyFont="1" applyFill="1"/>
    <xf numFmtId="165" fontId="2" fillId="4" borderId="0" xfId="0" applyNumberFormat="1" applyFont="1" applyFill="1"/>
    <xf numFmtId="166" fontId="2" fillId="4" borderId="0" xfId="1" applyNumberFormat="1" applyFont="1" applyFill="1"/>
    <xf numFmtId="166" fontId="8" fillId="8" borderId="6" xfId="1" applyNumberFormat="1" applyFont="1" applyFill="1" applyBorder="1"/>
    <xf numFmtId="166" fontId="0" fillId="8" borderId="3" xfId="1" applyNumberFormat="1" applyFont="1" applyFill="1" applyBorder="1"/>
    <xf numFmtId="166" fontId="0" fillId="8" borderId="6" xfId="1" applyNumberFormat="1" applyFont="1" applyFill="1" applyBorder="1"/>
    <xf numFmtId="0" fontId="10" fillId="4" borderId="10" xfId="0" applyFont="1" applyFill="1" applyBorder="1"/>
    <xf numFmtId="167" fontId="10" fillId="4" borderId="15" xfId="0" applyNumberFormat="1" applyFont="1" applyFill="1" applyBorder="1"/>
    <xf numFmtId="167" fontId="10" fillId="4" borderId="0" xfId="0" applyNumberFormat="1" applyFont="1" applyFill="1"/>
    <xf numFmtId="0" fontId="10" fillId="4" borderId="5" xfId="0" applyFont="1" applyFill="1" applyBorder="1"/>
    <xf numFmtId="167" fontId="10" fillId="4" borderId="6" xfId="0" applyNumberFormat="1" applyFont="1" applyFill="1" applyBorder="1"/>
    <xf numFmtId="167" fontId="10" fillId="4" borderId="7" xfId="0" applyNumberFormat="1" applyFont="1" applyFill="1" applyBorder="1"/>
    <xf numFmtId="0" fontId="0" fillId="4" borderId="1" xfId="0" applyFill="1" applyBorder="1"/>
    <xf numFmtId="0" fontId="0" fillId="4" borderId="12" xfId="0" applyFill="1" applyBorder="1"/>
    <xf numFmtId="165" fontId="0" fillId="4" borderId="13" xfId="0" applyNumberFormat="1" applyFill="1" applyBorder="1"/>
    <xf numFmtId="165" fontId="0" fillId="4" borderId="14" xfId="0" applyNumberFormat="1" applyFill="1" applyBorder="1"/>
    <xf numFmtId="0" fontId="0" fillId="4" borderId="10" xfId="0" applyFill="1" applyBorder="1"/>
    <xf numFmtId="167" fontId="0" fillId="4" borderId="0" xfId="0" applyNumberFormat="1" applyFill="1"/>
    <xf numFmtId="167" fontId="0" fillId="4" borderId="15" xfId="0" applyNumberFormat="1" applyFill="1" applyBorder="1"/>
    <xf numFmtId="17" fontId="3" fillId="4" borderId="0" xfId="0" applyNumberFormat="1" applyFont="1" applyFill="1"/>
    <xf numFmtId="2" fontId="0" fillId="0" borderId="0" xfId="0" applyNumberFormat="1"/>
    <xf numFmtId="1" fontId="0" fillId="0" borderId="0" xfId="0" applyNumberFormat="1"/>
    <xf numFmtId="0" fontId="5" fillId="3" borderId="10" xfId="0" applyFont="1" applyFill="1" applyBorder="1"/>
    <xf numFmtId="0" fontId="5" fillId="3" borderId="11" xfId="0" applyFont="1" applyFill="1" applyBorder="1"/>
    <xf numFmtId="166" fontId="0" fillId="6" borderId="0" xfId="1" applyNumberFormat="1" applyFont="1" applyFill="1" applyBorder="1"/>
    <xf numFmtId="165" fontId="0" fillId="4" borderId="15" xfId="0" applyNumberForma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5" fillId="4" borderId="17" xfId="0" applyFont="1" applyFill="1" applyBorder="1"/>
    <xf numFmtId="0" fontId="5" fillId="4" borderId="18" xfId="0" applyFont="1" applyFill="1" applyBorder="1"/>
    <xf numFmtId="0" fontId="5" fillId="4" borderId="19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0" fillId="8" borderId="0" xfId="0" applyFill="1"/>
    <xf numFmtId="0" fontId="5" fillId="4" borderId="21" xfId="0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/>
    </xf>
    <xf numFmtId="0" fontId="12" fillId="9" borderId="2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68" fontId="12" fillId="9" borderId="24" xfId="0" applyNumberFormat="1" applyFont="1" applyFill="1" applyBorder="1" applyAlignment="1">
      <alignment horizontal="center" vertical="center" wrapText="1"/>
    </xf>
    <xf numFmtId="168" fontId="5" fillId="4" borderId="21" xfId="0" applyNumberFormat="1" applyFont="1" applyFill="1" applyBorder="1" applyAlignment="1">
      <alignment horizontal="center"/>
    </xf>
    <xf numFmtId="168" fontId="5" fillId="4" borderId="23" xfId="0" applyNumberFormat="1" applyFont="1" applyFill="1" applyBorder="1" applyAlignment="1">
      <alignment horizontal="center"/>
    </xf>
    <xf numFmtId="168" fontId="0" fillId="0" borderId="0" xfId="0" applyNumberFormat="1" applyAlignment="1">
      <alignment horizontal="center"/>
    </xf>
    <xf numFmtId="1" fontId="5" fillId="4" borderId="21" xfId="0" applyNumberFormat="1" applyFont="1" applyFill="1" applyBorder="1" applyAlignment="1">
      <alignment horizontal="center"/>
    </xf>
    <xf numFmtId="0" fontId="12" fillId="9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9" xfId="0" applyBorder="1" applyAlignment="1">
      <alignment horizontal="center"/>
    </xf>
    <xf numFmtId="1" fontId="5" fillId="4" borderId="19" xfId="0" applyNumberFormat="1" applyFont="1" applyFill="1" applyBorder="1" applyAlignment="1">
      <alignment horizontal="center"/>
    </xf>
    <xf numFmtId="0" fontId="5" fillId="7" borderId="21" xfId="0" applyFont="1" applyFill="1" applyBorder="1" applyAlignment="1">
      <alignment horizontal="center"/>
    </xf>
    <xf numFmtId="1" fontId="5" fillId="7" borderId="21" xfId="0" applyNumberFormat="1" applyFont="1" applyFill="1" applyBorder="1" applyAlignment="1">
      <alignment horizontal="center"/>
    </xf>
    <xf numFmtId="168" fontId="5" fillId="7" borderId="21" xfId="0" applyNumberFormat="1" applyFont="1" applyFill="1" applyBorder="1" applyAlignment="1">
      <alignment horizontal="center"/>
    </xf>
    <xf numFmtId="0" fontId="5" fillId="7" borderId="23" xfId="0" applyFont="1" applyFill="1" applyBorder="1" applyAlignment="1">
      <alignment horizontal="center"/>
    </xf>
    <xf numFmtId="168" fontId="5" fillId="7" borderId="23" xfId="0" applyNumberFormat="1" applyFont="1" applyFill="1" applyBorder="1" applyAlignment="1">
      <alignment horizontal="center"/>
    </xf>
    <xf numFmtId="168" fontId="0" fillId="0" borderId="0" xfId="0" applyNumberFormat="1"/>
    <xf numFmtId="168" fontId="5" fillId="4" borderId="18" xfId="0" applyNumberFormat="1" applyFont="1" applyFill="1" applyBorder="1" applyAlignment="1">
      <alignment horizontal="center"/>
    </xf>
    <xf numFmtId="0" fontId="5" fillId="4" borderId="27" xfId="0" applyFont="1" applyFill="1" applyBorder="1" applyAlignment="1">
      <alignment horizontal="center"/>
    </xf>
    <xf numFmtId="168" fontId="5" fillId="4" borderId="28" xfId="0" applyNumberFormat="1" applyFont="1" applyFill="1" applyBorder="1" applyAlignment="1">
      <alignment horizontal="center"/>
    </xf>
    <xf numFmtId="0" fontId="0" fillId="0" borderId="29" xfId="0" applyBorder="1"/>
    <xf numFmtId="1" fontId="5" fillId="4" borderId="0" xfId="0" applyNumberFormat="1" applyFont="1" applyFill="1" applyAlignment="1">
      <alignment horizontal="center"/>
    </xf>
    <xf numFmtId="168" fontId="12" fillId="9" borderId="0" xfId="0" applyNumberFormat="1" applyFont="1" applyFill="1" applyAlignment="1">
      <alignment horizontal="center" vertical="center" wrapText="1"/>
    </xf>
    <xf numFmtId="168" fontId="5" fillId="4" borderId="25" xfId="0" applyNumberFormat="1" applyFont="1" applyFill="1" applyBorder="1" applyAlignment="1">
      <alignment horizontal="center"/>
    </xf>
    <xf numFmtId="168" fontId="5" fillId="7" borderId="0" xfId="0" applyNumberFormat="1" applyFont="1" applyFill="1" applyAlignment="1">
      <alignment horizontal="center"/>
    </xf>
    <xf numFmtId="168" fontId="5" fillId="4" borderId="0" xfId="0" applyNumberFormat="1" applyFont="1" applyFill="1" applyAlignment="1">
      <alignment horizontal="center"/>
    </xf>
    <xf numFmtId="168" fontId="5" fillId="4" borderId="30" xfId="0" applyNumberFormat="1" applyFont="1" applyFill="1" applyBorder="1" applyAlignment="1">
      <alignment horizontal="center"/>
    </xf>
    <xf numFmtId="169" fontId="0" fillId="0" borderId="0" xfId="0" applyNumberFormat="1"/>
    <xf numFmtId="169" fontId="3" fillId="0" borderId="0" xfId="0" applyNumberFormat="1" applyFont="1" applyAlignment="1">
      <alignment horizontal="center"/>
    </xf>
    <xf numFmtId="0" fontId="3" fillId="0" borderId="0" xfId="0" applyFont="1"/>
    <xf numFmtId="168" fontId="5" fillId="8" borderId="21" xfId="0" applyNumberFormat="1" applyFont="1" applyFill="1" applyBorder="1" applyAlignment="1">
      <alignment horizontal="center"/>
    </xf>
    <xf numFmtId="170" fontId="12" fillId="9" borderId="0" xfId="0" applyNumberFormat="1" applyFont="1" applyFill="1" applyAlignment="1">
      <alignment horizontal="center" vertical="center" wrapText="1"/>
    </xf>
    <xf numFmtId="170" fontId="4" fillId="4" borderId="0" xfId="0" applyNumberFormat="1" applyFont="1" applyFill="1" applyAlignment="1">
      <alignment horizontal="center"/>
    </xf>
    <xf numFmtId="170" fontId="3" fillId="0" borderId="0" xfId="0" applyNumberFormat="1" applyFont="1" applyAlignment="1">
      <alignment horizontal="center"/>
    </xf>
    <xf numFmtId="170" fontId="4" fillId="7" borderId="0" xfId="0" applyNumberFormat="1" applyFont="1" applyFill="1" applyAlignment="1">
      <alignment horizontal="center"/>
    </xf>
    <xf numFmtId="170" fontId="4" fillId="4" borderId="30" xfId="0" applyNumberFormat="1" applyFont="1" applyFill="1" applyBorder="1" applyAlignment="1">
      <alignment horizontal="center"/>
    </xf>
    <xf numFmtId="0" fontId="12" fillId="9" borderId="24" xfId="0" applyFont="1" applyFill="1" applyBorder="1" applyAlignment="1">
      <alignment horizontal="center" wrapText="1"/>
    </xf>
    <xf numFmtId="0" fontId="0" fillId="10" borderId="0" xfId="0" applyFill="1" applyAlignment="1">
      <alignment horizontal="center"/>
    </xf>
    <xf numFmtId="169" fontId="12" fillId="9" borderId="24" xfId="1" applyNumberFormat="1" applyFont="1" applyFill="1" applyBorder="1" applyAlignment="1">
      <alignment horizontal="center" vertical="center" wrapText="1"/>
    </xf>
    <xf numFmtId="169" fontId="0" fillId="0" borderId="0" xfId="1" applyNumberFormat="1" applyFont="1" applyAlignment="1">
      <alignment horizontal="center"/>
    </xf>
    <xf numFmtId="169" fontId="0" fillId="10" borderId="0" xfId="1" applyNumberFormat="1" applyFont="1" applyFill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10" borderId="0" xfId="1" applyNumberFormat="1" applyFont="1" applyFill="1" applyAlignment="1">
      <alignment horizontal="center"/>
    </xf>
    <xf numFmtId="0" fontId="3" fillId="8" borderId="0" xfId="0" applyFont="1" applyFill="1" applyAlignment="1">
      <alignment horizontal="right"/>
    </xf>
    <xf numFmtId="14" fontId="3" fillId="8" borderId="0" xfId="0" applyNumberFormat="1" applyFont="1" applyFill="1" applyAlignment="1">
      <alignment horizontal="center" vertical="center"/>
    </xf>
    <xf numFmtId="0" fontId="0" fillId="0" borderId="0" xfId="1" applyNumberFormat="1" applyFont="1" applyAlignment="1">
      <alignment horizontal="left"/>
    </xf>
    <xf numFmtId="0" fontId="13" fillId="11" borderId="24" xfId="1" applyNumberFormat="1" applyFont="1" applyFill="1" applyBorder="1" applyAlignment="1">
      <alignment horizontal="center" vertical="center" wrapText="1"/>
    </xf>
    <xf numFmtId="169" fontId="13" fillId="11" borderId="24" xfId="1" applyNumberFormat="1" applyFont="1" applyFill="1" applyBorder="1" applyAlignment="1">
      <alignment horizontal="center" vertical="center" wrapText="1"/>
    </xf>
    <xf numFmtId="16" fontId="3" fillId="11" borderId="0" xfId="0" applyNumberFormat="1" applyFont="1" applyFill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11" fontId="5" fillId="4" borderId="20" xfId="0" applyNumberFormat="1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 wrapText="1"/>
    </xf>
    <xf numFmtId="0" fontId="5" fillId="7" borderId="22" xfId="0" applyFont="1" applyFill="1" applyBorder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textRotation="90" wrapText="1"/>
    </xf>
    <xf numFmtId="0" fontId="3" fillId="4" borderId="11" xfId="0" applyFont="1" applyFill="1" applyBorder="1" applyAlignment="1">
      <alignment horizontal="center" vertical="center" textRotation="90" wrapText="1"/>
    </xf>
    <xf numFmtId="0" fontId="3" fillId="4" borderId="9" xfId="0" applyFont="1" applyFill="1" applyBorder="1" applyAlignment="1">
      <alignment horizontal="center" vertical="center" textRotation="90" wrapText="1"/>
    </xf>
    <xf numFmtId="17" fontId="3" fillId="6" borderId="12" xfId="0" applyNumberFormat="1" applyFont="1" applyFill="1" applyBorder="1" applyAlignment="1">
      <alignment horizontal="center"/>
    </xf>
    <xf numFmtId="17" fontId="3" fillId="6" borderId="13" xfId="0" applyNumberFormat="1" applyFont="1" applyFill="1" applyBorder="1" applyAlignment="1">
      <alignment horizontal="center"/>
    </xf>
    <xf numFmtId="17" fontId="3" fillId="6" borderId="14" xfId="0" applyNumberFormat="1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0</xdr:rowOff>
    </xdr:from>
    <xdr:to>
      <xdr:col>3</xdr:col>
      <xdr:colOff>238125</xdr:colOff>
      <xdr:row>0</xdr:row>
      <xdr:rowOff>292100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F85831D7-DE1A-4ACD-8B7D-AAB54BCAE86F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d2lzc2xpbWEtbXkuc2hhcmVwb2ludC5jb20vOnU6L2cvcGVyc29uYWwvY29zdG9zX3N3aXNzbGltYV9vbm1pY3Jvc29mdF9jb20vSVFBZWMteWtTWTllU3BBMUNfMkZvd3lwQWZpRzRFZ3YxRWJXNzgzOEtRV3NoeEE&quot;}"/>
            </a:ext>
          </a:extLst>
        </xdr:cNvPr>
        <xdr:cNvSpPr/>
      </xdr:nvSpPr>
      <xdr:spPr>
        <a:xfrm>
          <a:off x="723900" y="0"/>
          <a:ext cx="1676400" cy="292100"/>
        </a:xfrm>
        <a:prstGeom prst="roundRect">
          <a:avLst/>
        </a:prstGeom>
        <a:solidFill>
          <a:srgbClr val="107C41"/>
        </a:solidFill>
        <a:ln w="25400" cap="flat" cmpd="sng" algn="ctr">
          <a:solidFill>
            <a:schemeClr val="accent1">
              <a:shade val="1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/>
            <a:t>Ejecutar GuardarHoja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D9EE38B8-BDFE-4463-8616-6F760E9FA3CC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90CCFEE-58BA-40A0-9E4A-C94ECB9CD24B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1A834A-E02C-4016-BB93-C71E6302A947}" name="Page002" displayName="Page002" ref="A1:M60" tableType="queryTable" totalsRowShown="0">
  <autoFilter ref="A1:M60" xr:uid="{0D1A834A-E02C-4016-BB93-C71E6302A947}"/>
  <tableColumns count="13">
    <tableColumn id="1" xr3:uid="{B7D653EF-C999-43D1-8002-49A56F046D5E}" uniqueName="1" name="Column1" queryTableFieldId="1" dataDxfId="18"/>
    <tableColumn id="2" xr3:uid="{5FE90FDC-4A15-4EBF-BAAC-C6B676C2AF2D}" uniqueName="2" name="Column2" queryTableFieldId="2" dataDxfId="17"/>
    <tableColumn id="3" xr3:uid="{977074E8-6E76-4DA9-845F-5D3D1A8EFF76}" uniqueName="3" name="Column3" queryTableFieldId="3" dataDxfId="16"/>
    <tableColumn id="4" xr3:uid="{5AED3F4C-B01C-4D00-AE6B-A1868AE0FC3D}" uniqueName="4" name="Column4" queryTableFieldId="4" dataDxfId="15"/>
    <tableColumn id="5" xr3:uid="{7CA6F18F-B912-4F67-BC01-394D71DA1959}" uniqueName="5" name="Column5" queryTableFieldId="5"/>
    <tableColumn id="6" xr3:uid="{D16BAF7D-4019-42B9-9CAF-EA9A3104728E}" uniqueName="6" name="Column6" queryTableFieldId="6" dataDxfId="14"/>
    <tableColumn id="7" xr3:uid="{A019FAE1-2698-4ACD-A7AE-1735F371EB9C}" uniqueName="7" name="Column7" queryTableFieldId="7"/>
    <tableColumn id="8" xr3:uid="{5A5644CE-9946-4EA6-B17A-D93E39053C45}" uniqueName="8" name="Column8" queryTableFieldId="8"/>
    <tableColumn id="9" xr3:uid="{BE6B8C4D-D138-4F39-9F25-7959EAA91A33}" uniqueName="9" name="Column9" queryTableFieldId="9" dataDxfId="13"/>
    <tableColumn id="10" xr3:uid="{24BCE9A4-F65A-4FB6-ABFA-47D8E203B5D8}" uniqueName="10" name="Column10" queryTableFieldId="10"/>
    <tableColumn id="11" xr3:uid="{E06CABBE-702C-4A26-9E48-8EC16FD22954}" uniqueName="11" name="Column11" queryTableFieldId="11" dataDxfId="12"/>
    <tableColumn id="12" xr3:uid="{2423837E-023F-4656-B368-F107BDA4EC61}" uniqueName="12" name="Column12" queryTableFieldId="12" dataDxfId="11"/>
    <tableColumn id="13" xr3:uid="{B70AAD03-D3E8-464D-9771-964DC4C0AC7A}" uniqueName="13" name="Column13" queryTableFieldId="13" dataDxfId="10">
      <calculatedColumnFormula>IF(AND(A2&lt;&gt;"",LEFT(A2,3)&lt;&gt;"AV."),A2,M1)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E7E09B-78BE-4F45-BAEB-BC030FD12ACF}" name="Page001" displayName="Page001" ref="A1:J79" tableType="queryTable" totalsRowShown="0">
  <autoFilter ref="A1:J79" xr:uid="{2CE7E09B-78BE-4F45-BAEB-BC030FD12ACF}"/>
  <tableColumns count="10">
    <tableColumn id="1" xr3:uid="{E6355E2E-A450-4AC0-AFD8-9FE500E70617}" uniqueName="1" name="Column1" queryTableFieldId="1" dataDxfId="9"/>
    <tableColumn id="2" xr3:uid="{D7CBB186-21B5-433D-B6B8-C9F3E3595381}" uniqueName="2" name="Column2" queryTableFieldId="2" dataDxfId="8"/>
    <tableColumn id="3" xr3:uid="{0969A2C8-BFF6-4EC5-B499-741B37B7E29F}" uniqueName="3" name="Column3" queryTableFieldId="3" dataDxfId="7"/>
    <tableColumn id="4" xr3:uid="{A973AA74-348E-4C3E-A40A-79311167D772}" uniqueName="4" name="Column4" queryTableFieldId="4" dataDxfId="6"/>
    <tableColumn id="5" xr3:uid="{1744DF15-F1FA-4AA1-AC7A-8D425C9D6E05}" uniqueName="5" name="Column5" queryTableFieldId="5" dataDxfId="5"/>
    <tableColumn id="6" xr3:uid="{E7904A17-D77D-4788-8EB6-3DC6265DE567}" uniqueName="6" name="Column6" queryTableFieldId="6" dataDxfId="4"/>
    <tableColumn id="7" xr3:uid="{6E5C7E0B-2809-46AF-A38E-B133B325A8B6}" uniqueName="7" name="Column7" queryTableFieldId="7" dataDxfId="3"/>
    <tableColumn id="8" xr3:uid="{CE094C8E-32CD-4002-85D2-186A2C3527AA}" uniqueName="8" name="Column8" queryTableFieldId="8" dataDxfId="2"/>
    <tableColumn id="9" xr3:uid="{624B39CC-1DA5-4A29-A411-A80D726E60FE}" uniqueName="9" name="Column9" queryTableFieldId="9" dataDxfId="1"/>
    <tableColumn id="10" xr3:uid="{2B8E3FC8-3C55-4106-B793-C639AC8A2FA8}" uniqueName="10" name="Column10" queryTableFieldId="10" dataDxfId="0">
      <calculatedColumnFormula>IF(AND(A2&lt;&gt;"",LEFT(A2,3)&lt;&gt;"AV."),A2,J1)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8"/>
  <sheetViews>
    <sheetView zoomScale="130" zoomScaleNormal="130" workbookViewId="0">
      <selection activeCell="F8" sqref="F8"/>
    </sheetView>
  </sheetViews>
  <sheetFormatPr baseColWidth="10" defaultColWidth="9.140625" defaultRowHeight="15" x14ac:dyDescent="0.25"/>
  <cols>
    <col min="1" max="1" width="5.42578125" style="2" customWidth="1"/>
    <col min="2" max="2" width="11.42578125" style="2" customWidth="1"/>
    <col min="3" max="3" width="29.28515625" style="2" customWidth="1"/>
    <col min="4" max="5" width="12.28515625" style="2" customWidth="1"/>
    <col min="6" max="16384" width="9.140625" style="2"/>
  </cols>
  <sheetData>
    <row r="2" spans="2:8" x14ac:dyDescent="0.25">
      <c r="C2" s="44" t="s">
        <v>74</v>
      </c>
    </row>
    <row r="4" spans="2:8" x14ac:dyDescent="0.25">
      <c r="D4" s="91">
        <v>44470</v>
      </c>
      <c r="E4" s="91">
        <v>44501</v>
      </c>
    </row>
    <row r="5" spans="2:8" x14ac:dyDescent="0.25">
      <c r="C5" s="44" t="s">
        <v>65</v>
      </c>
      <c r="D5" s="44" t="s">
        <v>63</v>
      </c>
      <c r="E5" s="44" t="s">
        <v>64</v>
      </c>
      <c r="F5" s="44"/>
      <c r="G5" s="44" t="s">
        <v>76</v>
      </c>
      <c r="H5" s="44" t="s">
        <v>77</v>
      </c>
    </row>
    <row r="6" spans="2:8" ht="3.75" customHeight="1" x14ac:dyDescent="0.25"/>
    <row r="7" spans="2:8" x14ac:dyDescent="0.25">
      <c r="B7" s="84"/>
      <c r="C7" s="85" t="s">
        <v>66</v>
      </c>
      <c r="D7" s="86">
        <v>563.79999999999995</v>
      </c>
      <c r="E7" s="87">
        <v>390.6</v>
      </c>
      <c r="G7" s="3">
        <f>D7-E7</f>
        <v>173.19999999999993</v>
      </c>
      <c r="H7" s="72">
        <f>+E7/D7-1</f>
        <v>-0.30720113515430991</v>
      </c>
    </row>
    <row r="8" spans="2:8" x14ac:dyDescent="0.25">
      <c r="B8" s="168" t="s">
        <v>75</v>
      </c>
      <c r="C8" s="78" t="s">
        <v>67</v>
      </c>
      <c r="D8" s="80">
        <v>1.9800000000000002E-2</v>
      </c>
      <c r="E8" s="79">
        <v>1.9800000000000002E-2</v>
      </c>
      <c r="G8" s="89">
        <f t="shared" ref="G8:G14" si="0">D8-E8</f>
        <v>0</v>
      </c>
      <c r="H8" s="72">
        <f t="shared" ref="H8:H14" si="1">+E8/D8-1</f>
        <v>0</v>
      </c>
    </row>
    <row r="9" spans="2:8" x14ac:dyDescent="0.25">
      <c r="B9" s="169"/>
      <c r="C9" s="78" t="s">
        <v>68</v>
      </c>
      <c r="D9" s="80">
        <v>5.04E-2</v>
      </c>
      <c r="E9" s="79">
        <v>5.0099999999999999E-2</v>
      </c>
      <c r="G9" s="89">
        <f t="shared" si="0"/>
        <v>3.0000000000000165E-4</v>
      </c>
      <c r="H9" s="72">
        <f t="shared" si="1"/>
        <v>-5.9523809523809312E-3</v>
      </c>
    </row>
    <row r="10" spans="2:8" x14ac:dyDescent="0.25">
      <c r="B10" s="169"/>
      <c r="C10" s="88" t="s">
        <v>69</v>
      </c>
      <c r="D10" s="89">
        <v>1.11E-2</v>
      </c>
      <c r="E10" s="90">
        <v>1.11E-2</v>
      </c>
      <c r="G10" s="89">
        <f t="shared" si="0"/>
        <v>0</v>
      </c>
      <c r="H10" s="72">
        <f t="shared" si="1"/>
        <v>0</v>
      </c>
    </row>
    <row r="11" spans="2:8" x14ac:dyDescent="0.25">
      <c r="B11" s="169"/>
      <c r="C11" s="88" t="s">
        <v>70</v>
      </c>
      <c r="D11" s="89">
        <v>1.95E-2</v>
      </c>
      <c r="E11" s="90">
        <v>1.9300000000000001E-2</v>
      </c>
      <c r="G11" s="89">
        <f t="shared" si="0"/>
        <v>1.9999999999999879E-4</v>
      </c>
      <c r="H11" s="72">
        <f t="shared" si="1"/>
        <v>-1.025641025641022E-2</v>
      </c>
    </row>
    <row r="12" spans="2:8" x14ac:dyDescent="0.25">
      <c r="B12" s="169"/>
      <c r="C12" s="88" t="s">
        <v>71</v>
      </c>
      <c r="D12" s="89">
        <v>8.77E-2</v>
      </c>
      <c r="E12" s="90">
        <v>8.7499999999999994E-2</v>
      </c>
      <c r="G12" s="89">
        <f t="shared" si="0"/>
        <v>2.0000000000000573E-4</v>
      </c>
      <c r="H12" s="72">
        <f t="shared" si="1"/>
        <v>-2.2805017103763037E-3</v>
      </c>
    </row>
    <row r="13" spans="2:8" x14ac:dyDescent="0.25">
      <c r="B13" s="169"/>
      <c r="C13" s="78" t="s">
        <v>72</v>
      </c>
      <c r="D13" s="80">
        <v>2.07E-2</v>
      </c>
      <c r="E13" s="79">
        <v>2.0199999999999999E-2</v>
      </c>
      <c r="G13" s="89">
        <f t="shared" si="0"/>
        <v>5.0000000000000044E-4</v>
      </c>
      <c r="H13" s="72">
        <f t="shared" si="1"/>
        <v>-2.4154589371980673E-2</v>
      </c>
    </row>
    <row r="14" spans="2:8" x14ac:dyDescent="0.25">
      <c r="B14" s="170"/>
      <c r="C14" s="81" t="s">
        <v>73</v>
      </c>
      <c r="D14" s="82">
        <v>5.2400000000000002E-2</v>
      </c>
      <c r="E14" s="83">
        <v>5.1900000000000002E-2</v>
      </c>
      <c r="G14" s="89">
        <f t="shared" si="0"/>
        <v>5.0000000000000044E-4</v>
      </c>
      <c r="H14" s="72">
        <f t="shared" si="1"/>
        <v>-9.5419847328244156E-3</v>
      </c>
    </row>
    <row r="16" spans="2:8" x14ac:dyDescent="0.25">
      <c r="C16" s="30" t="s">
        <v>80</v>
      </c>
    </row>
    <row r="18" spans="3:3" x14ac:dyDescent="0.25">
      <c r="C18" s="2" t="s">
        <v>79</v>
      </c>
    </row>
  </sheetData>
  <mergeCells count="1">
    <mergeCell ref="B8:B14"/>
  </mergeCells>
  <pageMargins left="0.7" right="0.7" top="0.75" bottom="0.75" header="0.3" footer="0.3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68"/>
  <sheetViews>
    <sheetView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7" sqref="G7"/>
    </sheetView>
  </sheetViews>
  <sheetFormatPr baseColWidth="10" defaultColWidth="9.140625" defaultRowHeight="15" outlineLevelCol="1" x14ac:dyDescent="0.25"/>
  <cols>
    <col min="1" max="1" width="9.140625" style="2" customWidth="1" outlineLevel="1"/>
    <col min="2" max="2" width="19.5703125" customWidth="1"/>
    <col min="3" max="3" width="25.7109375" bestFit="1" customWidth="1"/>
    <col min="4" max="4" width="9.85546875" style="2" customWidth="1"/>
    <col min="5" max="5" width="10.42578125" style="4" customWidth="1"/>
    <col min="6" max="6" width="9.28515625" style="2" customWidth="1" outlineLevel="1"/>
    <col min="7" max="7" width="11.42578125" style="3" customWidth="1"/>
    <col min="8" max="8" width="10" style="2" customWidth="1"/>
    <col min="9" max="9" width="11" style="4" customWidth="1"/>
    <col min="10" max="10" width="9.28515625" style="2" hidden="1" customWidth="1" outlineLevel="1"/>
    <col min="11" max="11" width="10.85546875" style="3" customWidth="1" collapsed="1"/>
    <col min="12" max="12" width="10.140625" style="2" customWidth="1"/>
    <col min="13" max="13" width="11" style="4" customWidth="1"/>
    <col min="14" max="14" width="9.28515625" style="2" hidden="1" customWidth="1" outlineLevel="1"/>
    <col min="15" max="15" width="10.85546875" style="3" customWidth="1" collapsed="1"/>
    <col min="16" max="16" width="10" style="2" customWidth="1"/>
    <col min="17" max="17" width="11" style="4" customWidth="1"/>
    <col min="18" max="18" width="9.28515625" style="2" hidden="1" customWidth="1" outlineLevel="1"/>
    <col min="19" max="19" width="10.85546875" style="3" customWidth="1" collapsed="1"/>
    <col min="20" max="20" width="10" style="2" customWidth="1"/>
    <col min="21" max="21" width="11" style="4" customWidth="1"/>
    <col min="22" max="22" width="9.28515625" style="2" hidden="1" customWidth="1" outlineLevel="1"/>
    <col min="23" max="23" width="10.85546875" style="3" customWidth="1" collapsed="1"/>
    <col min="25" max="25" width="10.7109375" style="2" bestFit="1" customWidth="1"/>
    <col min="26" max="59" width="9.140625" style="2"/>
  </cols>
  <sheetData>
    <row r="1" spans="1:59" s="2" customFormat="1" x14ac:dyDescent="0.25">
      <c r="E1" s="4"/>
      <c r="G1" s="3"/>
      <c r="I1" s="4"/>
      <c r="K1" s="3"/>
      <c r="M1" s="4"/>
      <c r="O1" s="3"/>
      <c r="Q1" s="4"/>
      <c r="S1" s="3"/>
      <c r="U1" s="4"/>
      <c r="W1" s="3"/>
    </row>
    <row r="2" spans="1:59" s="2" customFormat="1" x14ac:dyDescent="0.25">
      <c r="B2" s="174" t="s">
        <v>57</v>
      </c>
      <c r="C2" s="175"/>
      <c r="E2" s="4"/>
      <c r="G2" s="3"/>
      <c r="I2" s="4"/>
      <c r="K2" s="3"/>
      <c r="M2" s="4"/>
      <c r="O2" s="3"/>
      <c r="Q2" s="4"/>
      <c r="S2" s="3"/>
      <c r="U2" s="4"/>
      <c r="W2" s="3"/>
    </row>
    <row r="3" spans="1:59" s="2" customFormat="1" x14ac:dyDescent="0.25">
      <c r="B3" s="176"/>
      <c r="C3" s="177"/>
      <c r="E3" s="4"/>
      <c r="G3" s="3"/>
      <c r="I3" s="4"/>
      <c r="K3" s="3"/>
      <c r="M3" s="4"/>
      <c r="O3" s="3"/>
      <c r="Q3" s="4"/>
      <c r="S3" s="3"/>
      <c r="U3" s="4"/>
      <c r="W3" s="3"/>
    </row>
    <row r="4" spans="1:59" s="2" customFormat="1" x14ac:dyDescent="0.25">
      <c r="E4" s="4"/>
      <c r="I4" s="4"/>
      <c r="M4" s="4"/>
      <c r="Q4" s="4"/>
      <c r="U4" s="4"/>
    </row>
    <row r="5" spans="1:59" s="30" customFormat="1" x14ac:dyDescent="0.25">
      <c r="D5" s="171">
        <v>44409</v>
      </c>
      <c r="E5" s="172"/>
      <c r="F5" s="172"/>
      <c r="G5" s="173"/>
      <c r="H5" s="171">
        <v>44440</v>
      </c>
      <c r="I5" s="172"/>
      <c r="J5" s="172"/>
      <c r="K5" s="173"/>
      <c r="L5" s="171">
        <v>44470</v>
      </c>
      <c r="M5" s="172"/>
      <c r="N5" s="172"/>
      <c r="O5" s="173"/>
      <c r="P5" s="171">
        <v>44501</v>
      </c>
      <c r="Q5" s="172"/>
      <c r="R5" s="172"/>
      <c r="S5" s="173"/>
      <c r="T5" s="171">
        <v>44531</v>
      </c>
      <c r="U5" s="172"/>
      <c r="V5" s="172"/>
      <c r="W5" s="173"/>
    </row>
    <row r="6" spans="1:59" x14ac:dyDescent="0.25">
      <c r="B6" s="35" t="s">
        <v>1</v>
      </c>
      <c r="C6" s="35" t="s">
        <v>0</v>
      </c>
      <c r="D6" s="35" t="s">
        <v>50</v>
      </c>
      <c r="E6" s="36" t="s">
        <v>47</v>
      </c>
      <c r="F6" s="35" t="s">
        <v>48</v>
      </c>
      <c r="G6" s="35" t="s">
        <v>49</v>
      </c>
      <c r="H6" s="35" t="s">
        <v>50</v>
      </c>
      <c r="I6" s="36" t="s">
        <v>47</v>
      </c>
      <c r="J6" s="35" t="s">
        <v>48</v>
      </c>
      <c r="K6" s="35" t="s">
        <v>49</v>
      </c>
      <c r="L6" s="35" t="s">
        <v>50</v>
      </c>
      <c r="M6" s="36" t="s">
        <v>47</v>
      </c>
      <c r="N6" s="35" t="s">
        <v>48</v>
      </c>
      <c r="O6" s="35" t="s">
        <v>49</v>
      </c>
      <c r="P6" s="35" t="s">
        <v>50</v>
      </c>
      <c r="Q6" s="36" t="s">
        <v>47</v>
      </c>
      <c r="R6" s="35" t="s">
        <v>48</v>
      </c>
      <c r="S6" s="35" t="s">
        <v>49</v>
      </c>
      <c r="T6" s="35" t="s">
        <v>50</v>
      </c>
      <c r="U6" s="36" t="s">
        <v>47</v>
      </c>
      <c r="V6" s="35" t="s">
        <v>48</v>
      </c>
      <c r="W6" s="35" t="s">
        <v>49</v>
      </c>
    </row>
    <row r="7" spans="1:59" x14ac:dyDescent="0.25">
      <c r="A7" s="29"/>
      <c r="B7" s="19" t="s">
        <v>44</v>
      </c>
      <c r="C7" s="21" t="s">
        <v>43</v>
      </c>
      <c r="D7" s="6" t="s">
        <v>52</v>
      </c>
      <c r="E7" s="41">
        <v>2042</v>
      </c>
      <c r="F7" s="6">
        <v>1.46E-2</v>
      </c>
      <c r="G7" s="7">
        <f>+E7*F7</f>
        <v>29.813200000000002</v>
      </c>
      <c r="H7" s="6" t="s">
        <v>52</v>
      </c>
      <c r="I7" s="41">
        <v>1618</v>
      </c>
      <c r="J7" s="6">
        <v>1.46E-2</v>
      </c>
      <c r="K7" s="7">
        <f>+I7*J7</f>
        <v>23.622800000000002</v>
      </c>
      <c r="L7" s="6" t="s">
        <v>52</v>
      </c>
      <c r="M7" s="41">
        <v>2414</v>
      </c>
      <c r="N7" s="6">
        <v>1.46E-2</v>
      </c>
      <c r="O7" s="7">
        <f>+M7*N7</f>
        <v>35.244399999999999</v>
      </c>
      <c r="P7" s="6" t="s">
        <v>52</v>
      </c>
      <c r="Q7" s="41">
        <v>1743</v>
      </c>
      <c r="R7" s="6">
        <v>1.11E-2</v>
      </c>
      <c r="S7" s="7">
        <f>+Q7*R7</f>
        <v>19.347300000000001</v>
      </c>
      <c r="T7" s="6" t="s">
        <v>52</v>
      </c>
      <c r="U7" s="41">
        <v>1642</v>
      </c>
      <c r="V7" s="6">
        <v>1.11E-2</v>
      </c>
      <c r="W7" s="7">
        <f>+U7*V7</f>
        <v>18.226200000000002</v>
      </c>
    </row>
    <row r="8" spans="1:59" x14ac:dyDescent="0.25">
      <c r="B8" s="20" t="s">
        <v>44</v>
      </c>
      <c r="C8" s="22" t="s">
        <v>43</v>
      </c>
      <c r="D8" s="9" t="s">
        <v>51</v>
      </c>
      <c r="E8" s="42"/>
      <c r="F8" s="9">
        <v>5.45E-2</v>
      </c>
      <c r="G8" s="10">
        <f t="shared" ref="G8" si="0">+E8*F8</f>
        <v>0</v>
      </c>
      <c r="H8" s="9" t="s">
        <v>51</v>
      </c>
      <c r="I8" s="42"/>
      <c r="J8" s="9">
        <v>5.45E-2</v>
      </c>
      <c r="K8" s="10">
        <f t="shared" ref="K8" si="1">+I8*J8</f>
        <v>0</v>
      </c>
      <c r="L8" s="9" t="s">
        <v>51</v>
      </c>
      <c r="M8" s="42"/>
      <c r="N8" s="9">
        <v>5.45E-2</v>
      </c>
      <c r="O8" s="10">
        <f t="shared" ref="O8" si="2">+M8*N8</f>
        <v>0</v>
      </c>
      <c r="P8" s="9" t="s">
        <v>51</v>
      </c>
      <c r="Q8" s="42"/>
      <c r="R8" s="9">
        <v>5.0099999999999999E-2</v>
      </c>
      <c r="S8" s="10">
        <f t="shared" ref="S8" si="3">+Q8*R8</f>
        <v>0</v>
      </c>
      <c r="T8" s="9" t="s">
        <v>51</v>
      </c>
      <c r="U8" s="42"/>
      <c r="V8" s="9">
        <v>5.0099999999999999E-2</v>
      </c>
      <c r="W8" s="10">
        <f t="shared" ref="W8" si="4">+U8*V8</f>
        <v>0</v>
      </c>
    </row>
    <row r="9" spans="1:59" x14ac:dyDescent="0.25">
      <c r="B9" s="15" t="s">
        <v>9</v>
      </c>
      <c r="C9" s="16" t="s">
        <v>8</v>
      </c>
      <c r="D9" s="6" t="s">
        <v>52</v>
      </c>
      <c r="E9" s="41">
        <v>279</v>
      </c>
      <c r="F9" s="6">
        <v>1.9800000000000002E-2</v>
      </c>
      <c r="G9" s="7">
        <f>+E9*F9</f>
        <v>5.5242000000000004</v>
      </c>
      <c r="H9" s="6" t="s">
        <v>52</v>
      </c>
      <c r="I9" s="41">
        <v>483</v>
      </c>
      <c r="J9" s="6">
        <v>1.9800000000000002E-2</v>
      </c>
      <c r="K9" s="7">
        <f>+I9*J9</f>
        <v>9.5634000000000015</v>
      </c>
      <c r="L9" s="6" t="s">
        <v>52</v>
      </c>
      <c r="M9" s="41">
        <v>440</v>
      </c>
      <c r="N9" s="6">
        <v>1.9800000000000002E-2</v>
      </c>
      <c r="O9" s="7">
        <f>+M9*N9</f>
        <v>8.7120000000000015</v>
      </c>
      <c r="P9" s="6" t="s">
        <v>52</v>
      </c>
      <c r="Q9" s="41">
        <v>306</v>
      </c>
      <c r="R9" s="6">
        <v>1.9800000000000002E-2</v>
      </c>
      <c r="S9" s="7">
        <f>+Q9*R9</f>
        <v>6.0588000000000006</v>
      </c>
      <c r="T9" s="6" t="s">
        <v>52</v>
      </c>
      <c r="U9" s="41">
        <v>579</v>
      </c>
      <c r="V9" s="6">
        <v>1.9800000000000002E-2</v>
      </c>
      <c r="W9" s="7">
        <f>+U9*V9</f>
        <v>11.464200000000002</v>
      </c>
    </row>
    <row r="10" spans="1:59" x14ac:dyDescent="0.25">
      <c r="B10" s="17" t="s">
        <v>9</v>
      </c>
      <c r="C10" s="18" t="s">
        <v>8</v>
      </c>
      <c r="D10" s="9" t="s">
        <v>51</v>
      </c>
      <c r="E10" s="42"/>
      <c r="F10" s="9">
        <v>5.45E-2</v>
      </c>
      <c r="G10" s="10">
        <f t="shared" ref="G10" si="5">+E10*F10</f>
        <v>0</v>
      </c>
      <c r="H10" s="9" t="s">
        <v>51</v>
      </c>
      <c r="I10" s="42"/>
      <c r="J10" s="9">
        <v>5.45E-2</v>
      </c>
      <c r="K10" s="10">
        <f t="shared" ref="K10" si="6">+I10*J10</f>
        <v>0</v>
      </c>
      <c r="L10" s="9" t="s">
        <v>51</v>
      </c>
      <c r="M10" s="42">
        <v>2</v>
      </c>
      <c r="N10" s="9">
        <v>5.45E-2</v>
      </c>
      <c r="O10" s="10">
        <f t="shared" ref="O10" si="7">+M10*N10</f>
        <v>0.109</v>
      </c>
      <c r="P10" s="9" t="s">
        <v>51</v>
      </c>
      <c r="Q10" s="42"/>
      <c r="R10" s="9">
        <v>5.0099999999999999E-2</v>
      </c>
      <c r="S10" s="10">
        <f t="shared" ref="S10" si="8">+Q10*R10</f>
        <v>0</v>
      </c>
      <c r="T10" s="9" t="s">
        <v>51</v>
      </c>
      <c r="U10" s="42"/>
      <c r="V10" s="9">
        <v>5.0099999999999999E-2</v>
      </c>
      <c r="W10" s="10">
        <f t="shared" ref="W10" si="9">+U10*V10</f>
        <v>0</v>
      </c>
    </row>
    <row r="11" spans="1:59" s="54" customFormat="1" x14ac:dyDescent="0.25">
      <c r="A11" s="48"/>
      <c r="B11" s="49" t="s">
        <v>34</v>
      </c>
      <c r="C11" s="50" t="s">
        <v>33</v>
      </c>
      <c r="D11" s="51" t="s">
        <v>52</v>
      </c>
      <c r="E11" s="52">
        <v>965</v>
      </c>
      <c r="F11" s="51">
        <v>1.9800000000000002E-2</v>
      </c>
      <c r="G11" s="53">
        <f t="shared" ref="G11:G12" si="10">+E11*F11</f>
        <v>19.107000000000003</v>
      </c>
      <c r="H11" s="51" t="s">
        <v>52</v>
      </c>
      <c r="I11" s="52">
        <v>1196</v>
      </c>
      <c r="J11" s="51">
        <v>1.9800000000000002E-2</v>
      </c>
      <c r="K11" s="53">
        <f>+I11*J11</f>
        <v>23.680800000000001</v>
      </c>
      <c r="L11" s="51" t="s">
        <v>52</v>
      </c>
      <c r="M11" s="52">
        <v>1184</v>
      </c>
      <c r="N11" s="51">
        <v>1.9800000000000002E-2</v>
      </c>
      <c r="O11" s="53">
        <f>+M11*N11</f>
        <v>23.443200000000001</v>
      </c>
      <c r="P11" s="51" t="s">
        <v>52</v>
      </c>
      <c r="Q11" s="52">
        <v>1186</v>
      </c>
      <c r="R11" s="51">
        <v>1.9800000000000002E-2</v>
      </c>
      <c r="S11" s="53">
        <f>+Q11*R11</f>
        <v>23.482800000000001</v>
      </c>
      <c r="T11" s="51" t="s">
        <v>52</v>
      </c>
      <c r="U11" s="52">
        <v>3508</v>
      </c>
      <c r="V11" s="51">
        <v>1.9800000000000002E-2</v>
      </c>
      <c r="W11" s="53">
        <f>+U11*V11</f>
        <v>69.458400000000012</v>
      </c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</row>
    <row r="12" spans="1:59" s="54" customFormat="1" x14ac:dyDescent="0.25">
      <c r="A12" s="48"/>
      <c r="B12" s="55" t="s">
        <v>34</v>
      </c>
      <c r="C12" s="56" t="s">
        <v>33</v>
      </c>
      <c r="D12" s="57" t="s">
        <v>51</v>
      </c>
      <c r="E12" s="58">
        <v>13</v>
      </c>
      <c r="F12" s="57">
        <v>5.45E-2</v>
      </c>
      <c r="G12" s="59">
        <f t="shared" si="10"/>
        <v>0.70850000000000002</v>
      </c>
      <c r="H12" s="57" t="s">
        <v>51</v>
      </c>
      <c r="I12" s="58">
        <v>437</v>
      </c>
      <c r="J12" s="57">
        <v>5.45E-2</v>
      </c>
      <c r="K12" s="59">
        <f>+I12*J12</f>
        <v>23.816500000000001</v>
      </c>
      <c r="L12" s="57" t="s">
        <v>51</v>
      </c>
      <c r="M12" s="58">
        <v>1556</v>
      </c>
      <c r="N12" s="57">
        <v>5.45E-2</v>
      </c>
      <c r="O12" s="59">
        <f>+M12*N12</f>
        <v>84.802000000000007</v>
      </c>
      <c r="P12" s="57" t="s">
        <v>51</v>
      </c>
      <c r="Q12" s="58">
        <v>71</v>
      </c>
      <c r="R12" s="57">
        <v>5.0099999999999999E-2</v>
      </c>
      <c r="S12" s="59">
        <f>+Q12*R12</f>
        <v>3.5570999999999997</v>
      </c>
      <c r="T12" s="57" t="s">
        <v>51</v>
      </c>
      <c r="U12" s="58">
        <v>62</v>
      </c>
      <c r="V12" s="57">
        <v>5.0099999999999999E-2</v>
      </c>
      <c r="W12" s="59">
        <f>+U12*V12</f>
        <v>3.1061999999999999</v>
      </c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</row>
    <row r="13" spans="1:59" x14ac:dyDescent="0.25">
      <c r="A13" s="1" t="s">
        <v>12</v>
      </c>
      <c r="B13" s="11" t="s">
        <v>23</v>
      </c>
      <c r="C13" s="12" t="s">
        <v>10</v>
      </c>
      <c r="D13" s="6" t="s">
        <v>52</v>
      </c>
      <c r="E13" s="41"/>
      <c r="F13" s="6">
        <v>1.9800000000000002E-2</v>
      </c>
      <c r="G13" s="7">
        <f>+E13*F13</f>
        <v>0</v>
      </c>
      <c r="H13" s="6" t="s">
        <v>52</v>
      </c>
      <c r="I13" s="41">
        <v>1</v>
      </c>
      <c r="J13" s="6">
        <v>1.9800000000000002E-2</v>
      </c>
      <c r="K13" s="7">
        <f>+I13*J13</f>
        <v>1.9800000000000002E-2</v>
      </c>
      <c r="L13" s="6" t="s">
        <v>52</v>
      </c>
      <c r="M13" s="41"/>
      <c r="N13" s="6">
        <v>1.9800000000000002E-2</v>
      </c>
      <c r="O13" s="7">
        <f>+M13*N13</f>
        <v>0</v>
      </c>
      <c r="P13" s="6" t="s">
        <v>52</v>
      </c>
      <c r="Q13" s="41"/>
      <c r="R13" s="6">
        <v>1.9800000000000002E-2</v>
      </c>
      <c r="S13" s="7">
        <f>+Q13*R13</f>
        <v>0</v>
      </c>
      <c r="T13" s="6" t="s">
        <v>52</v>
      </c>
      <c r="U13" s="41"/>
      <c r="V13" s="6">
        <v>1.9800000000000002E-2</v>
      </c>
      <c r="W13" s="7">
        <f>+U13*V13</f>
        <v>0</v>
      </c>
    </row>
    <row r="14" spans="1:59" x14ac:dyDescent="0.25">
      <c r="A14" s="1" t="s">
        <v>12</v>
      </c>
      <c r="B14" s="13" t="s">
        <v>23</v>
      </c>
      <c r="C14" s="14" t="s">
        <v>10</v>
      </c>
      <c r="D14" s="9" t="s">
        <v>51</v>
      </c>
      <c r="E14" s="42"/>
      <c r="F14" s="9">
        <v>5.45E-2</v>
      </c>
      <c r="G14" s="10">
        <f>+E14*F14</f>
        <v>0</v>
      </c>
      <c r="H14" s="9" t="s">
        <v>51</v>
      </c>
      <c r="I14" s="42">
        <v>5</v>
      </c>
      <c r="J14" s="9">
        <v>5.45E-2</v>
      </c>
      <c r="K14" s="10">
        <f>+I14*J14</f>
        <v>0.27250000000000002</v>
      </c>
      <c r="L14" s="9" t="s">
        <v>51</v>
      </c>
      <c r="M14" s="42"/>
      <c r="N14" s="9">
        <v>5.45E-2</v>
      </c>
      <c r="O14" s="10">
        <f>+M14*N14</f>
        <v>0</v>
      </c>
      <c r="P14" s="9" t="s">
        <v>51</v>
      </c>
      <c r="Q14" s="42"/>
      <c r="R14" s="9">
        <v>5.0099999999999999E-2</v>
      </c>
      <c r="S14" s="10">
        <f>+Q14*R14</f>
        <v>0</v>
      </c>
      <c r="T14" s="9" t="s">
        <v>51</v>
      </c>
      <c r="U14" s="42"/>
      <c r="V14" s="9">
        <v>5.0099999999999999E-2</v>
      </c>
      <c r="W14" s="10">
        <f>+U14*V14</f>
        <v>0</v>
      </c>
    </row>
    <row r="15" spans="1:59" x14ac:dyDescent="0.25">
      <c r="B15" s="15" t="s">
        <v>16</v>
      </c>
      <c r="C15" s="16" t="s">
        <v>15</v>
      </c>
      <c r="D15" s="6" t="s">
        <v>52</v>
      </c>
      <c r="E15" s="41">
        <v>41</v>
      </c>
      <c r="F15" s="6">
        <v>1.9800000000000002E-2</v>
      </c>
      <c r="G15" s="7">
        <f>+E15*F15</f>
        <v>0.81180000000000008</v>
      </c>
      <c r="H15" s="6" t="s">
        <v>52</v>
      </c>
      <c r="I15" s="41">
        <v>44</v>
      </c>
      <c r="J15" s="6">
        <v>1.9800000000000002E-2</v>
      </c>
      <c r="K15" s="7">
        <f>+I15*J15</f>
        <v>0.87120000000000009</v>
      </c>
      <c r="L15" s="6" t="s">
        <v>52</v>
      </c>
      <c r="M15" s="41">
        <v>5</v>
      </c>
      <c r="N15" s="6">
        <v>1.9800000000000002E-2</v>
      </c>
      <c r="O15" s="7">
        <f>+M15*N15</f>
        <v>9.9000000000000005E-2</v>
      </c>
      <c r="P15" s="6" t="s">
        <v>52</v>
      </c>
      <c r="Q15" s="41">
        <v>1</v>
      </c>
      <c r="R15" s="6">
        <v>1.9800000000000002E-2</v>
      </c>
      <c r="S15" s="7">
        <f>+Q15*R15</f>
        <v>1.9800000000000002E-2</v>
      </c>
      <c r="T15" s="6" t="s">
        <v>52</v>
      </c>
      <c r="U15" s="41"/>
      <c r="V15" s="6">
        <v>1.9800000000000002E-2</v>
      </c>
      <c r="W15" s="7">
        <f>+U15*V15</f>
        <v>0</v>
      </c>
    </row>
    <row r="16" spans="1:59" x14ac:dyDescent="0.25">
      <c r="B16" s="17" t="s">
        <v>16</v>
      </c>
      <c r="C16" s="18" t="s">
        <v>15</v>
      </c>
      <c r="D16" s="9" t="s">
        <v>51</v>
      </c>
      <c r="E16" s="42"/>
      <c r="F16" s="9">
        <v>5.45E-2</v>
      </c>
      <c r="G16" s="10">
        <f t="shared" ref="G16" si="11">+E16*F16</f>
        <v>0</v>
      </c>
      <c r="H16" s="9" t="s">
        <v>51</v>
      </c>
      <c r="I16" s="42"/>
      <c r="J16" s="9">
        <v>5.45E-2</v>
      </c>
      <c r="K16" s="10">
        <f t="shared" ref="K16" si="12">+I16*J16</f>
        <v>0</v>
      </c>
      <c r="L16" s="9" t="s">
        <v>51</v>
      </c>
      <c r="M16" s="42">
        <v>2</v>
      </c>
      <c r="N16" s="9">
        <v>5.45E-2</v>
      </c>
      <c r="O16" s="10">
        <f t="shared" ref="O16" si="13">+M16*N16</f>
        <v>0.109</v>
      </c>
      <c r="P16" s="9" t="s">
        <v>51</v>
      </c>
      <c r="Q16" s="42"/>
      <c r="R16" s="9">
        <v>5.0099999999999999E-2</v>
      </c>
      <c r="S16" s="10">
        <f t="shared" ref="S16" si="14">+Q16*R16</f>
        <v>0</v>
      </c>
      <c r="T16" s="9" t="s">
        <v>51</v>
      </c>
      <c r="U16" s="42"/>
      <c r="V16" s="9">
        <v>5.0099999999999999E-2</v>
      </c>
      <c r="W16" s="10">
        <f t="shared" ref="W16" si="15">+U16*V16</f>
        <v>0</v>
      </c>
    </row>
    <row r="17" spans="1:59" x14ac:dyDescent="0.25">
      <c r="B17" s="15" t="s">
        <v>3</v>
      </c>
      <c r="C17" s="16" t="s">
        <v>2</v>
      </c>
      <c r="D17" s="6" t="s">
        <v>52</v>
      </c>
      <c r="E17" s="41">
        <v>301</v>
      </c>
      <c r="F17" s="6">
        <v>1.9800000000000002E-2</v>
      </c>
      <c r="G17" s="7">
        <f t="shared" ref="G17:G18" si="16">+E17*F17</f>
        <v>5.9598000000000004</v>
      </c>
      <c r="H17" s="6" t="s">
        <v>52</v>
      </c>
      <c r="I17" s="41">
        <v>93</v>
      </c>
      <c r="J17" s="6">
        <v>1.9800000000000002E-2</v>
      </c>
      <c r="K17" s="7">
        <f t="shared" ref="K17:K22" si="17">+I17*J17</f>
        <v>1.8414000000000001</v>
      </c>
      <c r="L17" s="6" t="s">
        <v>52</v>
      </c>
      <c r="M17" s="41">
        <v>134</v>
      </c>
      <c r="N17" s="6">
        <v>1.9800000000000002E-2</v>
      </c>
      <c r="O17" s="7">
        <f t="shared" ref="O17:O22" si="18">+M17*N17</f>
        <v>2.6532</v>
      </c>
      <c r="P17" s="6" t="s">
        <v>52</v>
      </c>
      <c r="Q17" s="41">
        <v>101</v>
      </c>
      <c r="R17" s="6">
        <v>1.9800000000000002E-2</v>
      </c>
      <c r="S17" s="7">
        <f t="shared" ref="S17:S22" si="19">+Q17*R17</f>
        <v>1.9998000000000002</v>
      </c>
      <c r="T17" s="6" t="s">
        <v>52</v>
      </c>
      <c r="U17" s="41"/>
      <c r="V17" s="6">
        <v>1.9800000000000002E-2</v>
      </c>
      <c r="W17" s="7">
        <f t="shared" ref="W17:W22" si="20">+U17*V17</f>
        <v>0</v>
      </c>
    </row>
    <row r="18" spans="1:59" x14ac:dyDescent="0.25">
      <c r="B18" s="17" t="s">
        <v>3</v>
      </c>
      <c r="C18" s="18" t="s">
        <v>2</v>
      </c>
      <c r="D18" s="9" t="s">
        <v>51</v>
      </c>
      <c r="E18" s="42">
        <v>162</v>
      </c>
      <c r="F18" s="9">
        <v>5.45E-2</v>
      </c>
      <c r="G18" s="10">
        <f t="shared" si="16"/>
        <v>8.8290000000000006</v>
      </c>
      <c r="H18" s="9" t="s">
        <v>51</v>
      </c>
      <c r="I18" s="42">
        <v>352</v>
      </c>
      <c r="J18" s="9">
        <v>5.45E-2</v>
      </c>
      <c r="K18" s="10">
        <f t="shared" si="17"/>
        <v>19.184000000000001</v>
      </c>
      <c r="L18" s="9" t="s">
        <v>51</v>
      </c>
      <c r="M18" s="42">
        <v>245</v>
      </c>
      <c r="N18" s="9">
        <v>5.45E-2</v>
      </c>
      <c r="O18" s="10">
        <f t="shared" si="18"/>
        <v>13.352499999999999</v>
      </c>
      <c r="P18" s="9" t="s">
        <v>51</v>
      </c>
      <c r="Q18" s="42">
        <v>141</v>
      </c>
      <c r="R18" s="9">
        <v>5.0099999999999999E-2</v>
      </c>
      <c r="S18" s="10">
        <f t="shared" si="19"/>
        <v>7.0640999999999998</v>
      </c>
      <c r="T18" s="9" t="s">
        <v>51</v>
      </c>
      <c r="U18" s="42"/>
      <c r="V18" s="9">
        <v>5.0099999999999999E-2</v>
      </c>
      <c r="W18" s="10">
        <f t="shared" si="20"/>
        <v>0</v>
      </c>
    </row>
    <row r="19" spans="1:59" x14ac:dyDescent="0.25">
      <c r="B19" s="15" t="s">
        <v>32</v>
      </c>
      <c r="C19" s="16" t="s">
        <v>31</v>
      </c>
      <c r="D19" s="6" t="s">
        <v>52</v>
      </c>
      <c r="E19" s="41">
        <v>1534</v>
      </c>
      <c r="F19" s="6">
        <v>1.9800000000000002E-2</v>
      </c>
      <c r="G19" s="7">
        <f>+E19*F19</f>
        <v>30.373200000000004</v>
      </c>
      <c r="H19" s="6" t="s">
        <v>52</v>
      </c>
      <c r="I19" s="41">
        <v>1949</v>
      </c>
      <c r="J19" s="6">
        <v>1.9800000000000002E-2</v>
      </c>
      <c r="K19" s="7">
        <f t="shared" si="17"/>
        <v>38.590200000000003</v>
      </c>
      <c r="L19" s="6" t="s">
        <v>52</v>
      </c>
      <c r="M19" s="41">
        <v>1951</v>
      </c>
      <c r="N19" s="6">
        <v>1.9800000000000002E-2</v>
      </c>
      <c r="O19" s="7">
        <f t="shared" si="18"/>
        <v>38.629800000000003</v>
      </c>
      <c r="P19" s="6" t="s">
        <v>52</v>
      </c>
      <c r="Q19" s="41">
        <v>1831</v>
      </c>
      <c r="R19" s="6">
        <v>1.9800000000000002E-2</v>
      </c>
      <c r="S19" s="7">
        <f t="shared" si="19"/>
        <v>36.253800000000005</v>
      </c>
      <c r="T19" s="6" t="s">
        <v>52</v>
      </c>
      <c r="U19" s="41">
        <v>1425</v>
      </c>
      <c r="V19" s="6">
        <v>1.9800000000000002E-2</v>
      </c>
      <c r="W19" s="7">
        <f t="shared" si="20"/>
        <v>28.215000000000003</v>
      </c>
    </row>
    <row r="20" spans="1:59" x14ac:dyDescent="0.25">
      <c r="B20" s="17" t="s">
        <v>32</v>
      </c>
      <c r="C20" s="18" t="s">
        <v>31</v>
      </c>
      <c r="D20" s="9" t="s">
        <v>51</v>
      </c>
      <c r="E20" s="42"/>
      <c r="F20" s="9">
        <v>5.45E-2</v>
      </c>
      <c r="G20" s="10">
        <f t="shared" ref="G20" si="21">+E20*F20</f>
        <v>0</v>
      </c>
      <c r="H20" s="9" t="s">
        <v>51</v>
      </c>
      <c r="I20" s="42">
        <v>1</v>
      </c>
      <c r="J20" s="9">
        <v>5.45E-2</v>
      </c>
      <c r="K20" s="10">
        <f t="shared" si="17"/>
        <v>5.45E-2</v>
      </c>
      <c r="L20" s="9" t="s">
        <v>51</v>
      </c>
      <c r="M20" s="42"/>
      <c r="N20" s="9">
        <v>5.45E-2</v>
      </c>
      <c r="O20" s="10">
        <f t="shared" si="18"/>
        <v>0</v>
      </c>
      <c r="P20" s="9" t="s">
        <v>51</v>
      </c>
      <c r="Q20" s="42"/>
      <c r="R20" s="9">
        <v>5.0099999999999999E-2</v>
      </c>
      <c r="S20" s="10">
        <f t="shared" si="19"/>
        <v>0</v>
      </c>
      <c r="T20" s="9" t="s">
        <v>51</v>
      </c>
      <c r="U20" s="42">
        <v>1</v>
      </c>
      <c r="V20" s="9">
        <v>5.0099999999999999E-2</v>
      </c>
      <c r="W20" s="10">
        <f t="shared" si="20"/>
        <v>5.0099999999999999E-2</v>
      </c>
    </row>
    <row r="21" spans="1:59" x14ac:dyDescent="0.25">
      <c r="A21" s="1" t="s">
        <v>12</v>
      </c>
      <c r="B21" s="11" t="s">
        <v>11</v>
      </c>
      <c r="C21" s="12" t="s">
        <v>10</v>
      </c>
      <c r="D21" s="6" t="s">
        <v>52</v>
      </c>
      <c r="E21" s="41"/>
      <c r="F21" s="6">
        <v>1.9800000000000002E-2</v>
      </c>
      <c r="G21" s="7">
        <f>+E21*F21</f>
        <v>0</v>
      </c>
      <c r="H21" s="6" t="s">
        <v>52</v>
      </c>
      <c r="I21" s="41">
        <v>7</v>
      </c>
      <c r="J21" s="6">
        <v>1.9800000000000002E-2</v>
      </c>
      <c r="K21" s="7">
        <f t="shared" si="17"/>
        <v>0.1386</v>
      </c>
      <c r="L21" s="6" t="s">
        <v>52</v>
      </c>
      <c r="M21" s="41">
        <v>2</v>
      </c>
      <c r="N21" s="6">
        <v>1.9800000000000002E-2</v>
      </c>
      <c r="O21" s="7">
        <f t="shared" si="18"/>
        <v>3.9600000000000003E-2</v>
      </c>
      <c r="P21" s="6" t="s">
        <v>52</v>
      </c>
      <c r="Q21" s="41"/>
      <c r="R21" s="6">
        <v>1.9800000000000002E-2</v>
      </c>
      <c r="S21" s="7">
        <f t="shared" si="19"/>
        <v>0</v>
      </c>
      <c r="T21" s="6" t="s">
        <v>52</v>
      </c>
      <c r="U21" s="41"/>
      <c r="V21" s="6">
        <v>1.9800000000000002E-2</v>
      </c>
      <c r="W21" s="7">
        <f t="shared" si="20"/>
        <v>0</v>
      </c>
    </row>
    <row r="22" spans="1:59" x14ac:dyDescent="0.25">
      <c r="A22" s="1" t="s">
        <v>12</v>
      </c>
      <c r="B22" s="13" t="s">
        <v>11</v>
      </c>
      <c r="C22" s="14" t="s">
        <v>10</v>
      </c>
      <c r="D22" s="9" t="s">
        <v>51</v>
      </c>
      <c r="E22" s="42">
        <v>2</v>
      </c>
      <c r="F22" s="9">
        <v>5.45E-2</v>
      </c>
      <c r="G22" s="10">
        <f>+E22*F22</f>
        <v>0.109</v>
      </c>
      <c r="H22" s="9" t="s">
        <v>51</v>
      </c>
      <c r="I22" s="42">
        <v>3</v>
      </c>
      <c r="J22" s="9">
        <v>5.45E-2</v>
      </c>
      <c r="K22" s="10">
        <f t="shared" si="17"/>
        <v>0.16350000000000001</v>
      </c>
      <c r="L22" s="9" t="s">
        <v>51</v>
      </c>
      <c r="M22" s="42"/>
      <c r="N22" s="9">
        <v>5.45E-2</v>
      </c>
      <c r="O22" s="10">
        <f t="shared" si="18"/>
        <v>0</v>
      </c>
      <c r="P22" s="9" t="s">
        <v>51</v>
      </c>
      <c r="Q22" s="42"/>
      <c r="R22" s="9">
        <v>5.0099999999999999E-2</v>
      </c>
      <c r="S22" s="10">
        <f t="shared" si="19"/>
        <v>0</v>
      </c>
      <c r="T22" s="9" t="s">
        <v>51</v>
      </c>
      <c r="U22" s="42"/>
      <c r="V22" s="9">
        <v>5.0099999999999999E-2</v>
      </c>
      <c r="W22" s="10">
        <f t="shared" si="20"/>
        <v>0</v>
      </c>
    </row>
    <row r="23" spans="1:59" x14ac:dyDescent="0.25">
      <c r="B23" s="15" t="s">
        <v>14</v>
      </c>
      <c r="C23" s="16" t="s">
        <v>13</v>
      </c>
      <c r="D23" s="6" t="s">
        <v>52</v>
      </c>
      <c r="E23" s="41">
        <v>9</v>
      </c>
      <c r="F23" s="6">
        <v>1.9800000000000002E-2</v>
      </c>
      <c r="G23" s="7">
        <f t="shared" ref="G23:G24" si="22">+E23*F23</f>
        <v>0.17820000000000003</v>
      </c>
      <c r="H23" s="6" t="s">
        <v>52</v>
      </c>
      <c r="I23" s="41">
        <v>20</v>
      </c>
      <c r="J23" s="6">
        <v>1.9800000000000002E-2</v>
      </c>
      <c r="K23" s="7">
        <f t="shared" ref="K23:K24" si="23">+I23*J23</f>
        <v>0.39600000000000002</v>
      </c>
      <c r="L23" s="6" t="s">
        <v>52</v>
      </c>
      <c r="M23" s="41">
        <v>24</v>
      </c>
      <c r="N23" s="6">
        <v>1.9800000000000002E-2</v>
      </c>
      <c r="O23" s="7">
        <f t="shared" ref="O23:O24" si="24">+M23*N23</f>
        <v>0.47520000000000007</v>
      </c>
      <c r="P23" s="6" t="s">
        <v>52</v>
      </c>
      <c r="Q23" s="41">
        <v>20</v>
      </c>
      <c r="R23" s="6">
        <v>1.9800000000000002E-2</v>
      </c>
      <c r="S23" s="7">
        <f t="shared" ref="S23:S24" si="25">+Q23*R23</f>
        <v>0.39600000000000002</v>
      </c>
      <c r="T23" s="6" t="s">
        <v>52</v>
      </c>
      <c r="U23" s="41">
        <v>15</v>
      </c>
      <c r="V23" s="6">
        <v>1.9800000000000002E-2</v>
      </c>
      <c r="W23" s="7">
        <f t="shared" ref="W23:W24" si="26">+U23*V23</f>
        <v>0.29700000000000004</v>
      </c>
    </row>
    <row r="24" spans="1:59" x14ac:dyDescent="0.25">
      <c r="B24" s="17" t="s">
        <v>14</v>
      </c>
      <c r="C24" s="18" t="s">
        <v>13</v>
      </c>
      <c r="D24" s="9" t="s">
        <v>51</v>
      </c>
      <c r="E24" s="42">
        <v>25</v>
      </c>
      <c r="F24" s="9">
        <v>5.45E-2</v>
      </c>
      <c r="G24" s="10">
        <f t="shared" si="22"/>
        <v>1.3625</v>
      </c>
      <c r="H24" s="9" t="s">
        <v>51</v>
      </c>
      <c r="I24" s="42">
        <v>13</v>
      </c>
      <c r="J24" s="9">
        <v>5.45E-2</v>
      </c>
      <c r="K24" s="10">
        <f t="shared" si="23"/>
        <v>0.70850000000000002</v>
      </c>
      <c r="L24" s="9" t="s">
        <v>51</v>
      </c>
      <c r="M24" s="42">
        <v>27</v>
      </c>
      <c r="N24" s="9">
        <v>5.45E-2</v>
      </c>
      <c r="O24" s="10">
        <f t="shared" si="24"/>
        <v>1.4715</v>
      </c>
      <c r="P24" s="9" t="s">
        <v>51</v>
      </c>
      <c r="Q24" s="42">
        <v>18</v>
      </c>
      <c r="R24" s="9">
        <v>5.0099999999999999E-2</v>
      </c>
      <c r="S24" s="10">
        <f t="shared" si="25"/>
        <v>0.90179999999999993</v>
      </c>
      <c r="T24" s="9" t="s">
        <v>51</v>
      </c>
      <c r="U24" s="42">
        <v>17</v>
      </c>
      <c r="V24" s="9">
        <v>5.0099999999999999E-2</v>
      </c>
      <c r="W24" s="10">
        <f t="shared" si="26"/>
        <v>0.85170000000000001</v>
      </c>
    </row>
    <row r="25" spans="1:59" x14ac:dyDescent="0.25">
      <c r="B25" s="15" t="s">
        <v>18</v>
      </c>
      <c r="C25" s="16" t="s">
        <v>17</v>
      </c>
      <c r="D25" s="6" t="s">
        <v>52</v>
      </c>
      <c r="E25" s="41"/>
      <c r="F25" s="6">
        <v>1.9800000000000002E-2</v>
      </c>
      <c r="G25" s="7">
        <f>+E25*F25</f>
        <v>0</v>
      </c>
      <c r="H25" s="6" t="s">
        <v>52</v>
      </c>
      <c r="I25" s="41"/>
      <c r="J25" s="6">
        <v>1.9800000000000002E-2</v>
      </c>
      <c r="K25" s="7">
        <f>+I25*J25</f>
        <v>0</v>
      </c>
      <c r="L25" s="6" t="s">
        <v>52</v>
      </c>
      <c r="M25" s="41"/>
      <c r="N25" s="6">
        <v>1.9800000000000002E-2</v>
      </c>
      <c r="O25" s="7">
        <f>+M25*N25</f>
        <v>0</v>
      </c>
      <c r="P25" s="6" t="s">
        <v>52</v>
      </c>
      <c r="Q25" s="41"/>
      <c r="R25" s="6">
        <v>1.9800000000000002E-2</v>
      </c>
      <c r="S25" s="7">
        <f>+Q25*R25</f>
        <v>0</v>
      </c>
      <c r="T25" s="6" t="s">
        <v>52</v>
      </c>
      <c r="U25" s="41"/>
      <c r="V25" s="6">
        <v>1.9800000000000002E-2</v>
      </c>
      <c r="W25" s="7">
        <f>+U25*V25</f>
        <v>0</v>
      </c>
    </row>
    <row r="26" spans="1:59" x14ac:dyDescent="0.25">
      <c r="B26" s="17" t="s">
        <v>18</v>
      </c>
      <c r="C26" s="18" t="s">
        <v>17</v>
      </c>
      <c r="D26" s="9" t="s">
        <v>51</v>
      </c>
      <c r="E26" s="42"/>
      <c r="F26" s="9">
        <v>5.45E-2</v>
      </c>
      <c r="G26" s="10">
        <f t="shared" ref="G26" si="27">+E26*F26</f>
        <v>0</v>
      </c>
      <c r="H26" s="9" t="s">
        <v>51</v>
      </c>
      <c r="I26" s="42"/>
      <c r="J26" s="9">
        <v>5.45E-2</v>
      </c>
      <c r="K26" s="10">
        <f t="shared" ref="K26" si="28">+I26*J26</f>
        <v>0</v>
      </c>
      <c r="L26" s="9" t="s">
        <v>51</v>
      </c>
      <c r="M26" s="42"/>
      <c r="N26" s="9">
        <v>5.45E-2</v>
      </c>
      <c r="O26" s="10">
        <f t="shared" ref="O26" si="29">+M26*N26</f>
        <v>0</v>
      </c>
      <c r="P26" s="9" t="s">
        <v>51</v>
      </c>
      <c r="Q26" s="42"/>
      <c r="R26" s="9">
        <v>5.0099999999999999E-2</v>
      </c>
      <c r="S26" s="10">
        <f t="shared" ref="S26" si="30">+Q26*R26</f>
        <v>0</v>
      </c>
      <c r="T26" s="9" t="s">
        <v>51</v>
      </c>
      <c r="U26" s="42"/>
      <c r="V26" s="9">
        <v>5.0099999999999999E-2</v>
      </c>
      <c r="W26" s="10">
        <f t="shared" ref="W26" si="31">+U26*V26</f>
        <v>0</v>
      </c>
    </row>
    <row r="27" spans="1:59" s="66" customFormat="1" x14ac:dyDescent="0.25">
      <c r="A27" s="60"/>
      <c r="B27" s="61" t="s">
        <v>20</v>
      </c>
      <c r="C27" s="62" t="s">
        <v>19</v>
      </c>
      <c r="D27" s="63" t="s">
        <v>52</v>
      </c>
      <c r="E27" s="64">
        <v>853</v>
      </c>
      <c r="F27" s="63">
        <v>1.9800000000000002E-2</v>
      </c>
      <c r="G27" s="65">
        <f>+E27*F27</f>
        <v>16.889400000000002</v>
      </c>
      <c r="H27" s="63" t="s">
        <v>52</v>
      </c>
      <c r="I27" s="64">
        <v>921</v>
      </c>
      <c r="J27" s="63">
        <v>1.9800000000000002E-2</v>
      </c>
      <c r="K27" s="65">
        <f>+I27*J27</f>
        <v>18.235800000000001</v>
      </c>
      <c r="L27" s="63" t="s">
        <v>52</v>
      </c>
      <c r="M27" s="64"/>
      <c r="N27" s="63">
        <v>1.9800000000000002E-2</v>
      </c>
      <c r="O27" s="65">
        <f>+M27*N27</f>
        <v>0</v>
      </c>
      <c r="P27" s="63" t="s">
        <v>52</v>
      </c>
      <c r="Q27" s="64"/>
      <c r="R27" s="63">
        <v>1.9800000000000002E-2</v>
      </c>
      <c r="S27" s="65">
        <f>+Q27*R27</f>
        <v>0</v>
      </c>
      <c r="T27" s="63" t="s">
        <v>52</v>
      </c>
      <c r="U27" s="64"/>
      <c r="V27" s="63">
        <v>1.9800000000000002E-2</v>
      </c>
      <c r="W27" s="65">
        <f>+U27*V27</f>
        <v>0</v>
      </c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</row>
    <row r="28" spans="1:59" s="66" customFormat="1" x14ac:dyDescent="0.25">
      <c r="A28" s="60"/>
      <c r="B28" s="67" t="s">
        <v>20</v>
      </c>
      <c r="C28" s="68" t="s">
        <v>19</v>
      </c>
      <c r="D28" s="69" t="s">
        <v>51</v>
      </c>
      <c r="E28" s="70"/>
      <c r="F28" s="69">
        <v>5.45E-2</v>
      </c>
      <c r="G28" s="71">
        <f t="shared" ref="G28" si="32">+E28*F28</f>
        <v>0</v>
      </c>
      <c r="H28" s="69" t="s">
        <v>51</v>
      </c>
      <c r="I28" s="70"/>
      <c r="J28" s="69">
        <v>5.45E-2</v>
      </c>
      <c r="K28" s="71">
        <f t="shared" ref="K28" si="33">+I28*J28</f>
        <v>0</v>
      </c>
      <c r="L28" s="69" t="s">
        <v>51</v>
      </c>
      <c r="M28" s="70">
        <v>1227</v>
      </c>
      <c r="N28" s="69">
        <v>5.45E-2</v>
      </c>
      <c r="O28" s="71">
        <f t="shared" ref="O28" si="34">+M28*N28</f>
        <v>66.871499999999997</v>
      </c>
      <c r="P28" s="69" t="s">
        <v>51</v>
      </c>
      <c r="Q28" s="70">
        <v>540</v>
      </c>
      <c r="R28" s="69">
        <v>5.0099999999999999E-2</v>
      </c>
      <c r="S28" s="71">
        <f t="shared" ref="S28" si="35">+Q28*R28</f>
        <v>27.053999999999998</v>
      </c>
      <c r="T28" s="69" t="s">
        <v>51</v>
      </c>
      <c r="U28" s="70"/>
      <c r="V28" s="69">
        <v>5.0099999999999999E-2</v>
      </c>
      <c r="W28" s="71">
        <f t="shared" ref="W28" si="36">+U28*V28</f>
        <v>0</v>
      </c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</row>
    <row r="29" spans="1:59" x14ac:dyDescent="0.25">
      <c r="B29" s="15" t="s">
        <v>27</v>
      </c>
      <c r="C29" s="16" t="s">
        <v>26</v>
      </c>
      <c r="D29" s="6" t="s">
        <v>52</v>
      </c>
      <c r="E29" s="41">
        <v>481</v>
      </c>
      <c r="F29" s="6">
        <v>1.9800000000000002E-2</v>
      </c>
      <c r="G29" s="7">
        <f t="shared" ref="G29:G30" si="37">+E29*F29</f>
        <v>9.5238000000000014</v>
      </c>
      <c r="H29" s="6" t="s">
        <v>52</v>
      </c>
      <c r="I29" s="41">
        <v>529</v>
      </c>
      <c r="J29" s="6">
        <v>1.9800000000000002E-2</v>
      </c>
      <c r="K29" s="7">
        <f>+I29*J29</f>
        <v>10.474200000000002</v>
      </c>
      <c r="L29" s="6" t="s">
        <v>52</v>
      </c>
      <c r="M29" s="41">
        <v>510</v>
      </c>
      <c r="N29" s="6">
        <v>1.9800000000000002E-2</v>
      </c>
      <c r="O29" s="7">
        <f>+M29*N29</f>
        <v>10.098000000000001</v>
      </c>
      <c r="P29" s="6" t="s">
        <v>52</v>
      </c>
      <c r="Q29" s="41">
        <v>453</v>
      </c>
      <c r="R29" s="6">
        <v>1.9800000000000002E-2</v>
      </c>
      <c r="S29" s="7">
        <f>+Q29*R29</f>
        <v>8.9694000000000003</v>
      </c>
      <c r="T29" s="6" t="s">
        <v>52</v>
      </c>
      <c r="U29" s="41">
        <v>868</v>
      </c>
      <c r="V29" s="6">
        <v>1.9800000000000002E-2</v>
      </c>
      <c r="W29" s="7">
        <f>+U29*V29</f>
        <v>17.186400000000003</v>
      </c>
    </row>
    <row r="30" spans="1:59" x14ac:dyDescent="0.25">
      <c r="B30" s="17" t="s">
        <v>27</v>
      </c>
      <c r="C30" s="18" t="s">
        <v>26</v>
      </c>
      <c r="D30" s="9" t="s">
        <v>51</v>
      </c>
      <c r="E30" s="42">
        <v>65</v>
      </c>
      <c r="F30" s="9">
        <v>5.45E-2</v>
      </c>
      <c r="G30" s="10">
        <f t="shared" si="37"/>
        <v>3.5425</v>
      </c>
      <c r="H30" s="9" t="s">
        <v>51</v>
      </c>
      <c r="I30" s="42">
        <v>173</v>
      </c>
      <c r="J30" s="9">
        <v>5.45E-2</v>
      </c>
      <c r="K30" s="10">
        <f>+I30*J30</f>
        <v>9.4284999999999997</v>
      </c>
      <c r="L30" s="9" t="s">
        <v>51</v>
      </c>
      <c r="M30" s="42">
        <v>28</v>
      </c>
      <c r="N30" s="9">
        <v>5.45E-2</v>
      </c>
      <c r="O30" s="10">
        <f>+M30*N30</f>
        <v>1.526</v>
      </c>
      <c r="P30" s="9" t="s">
        <v>51</v>
      </c>
      <c r="Q30" s="42">
        <v>75</v>
      </c>
      <c r="R30" s="9">
        <v>5.0099999999999999E-2</v>
      </c>
      <c r="S30" s="10">
        <f>+Q30*R30</f>
        <v>3.7574999999999998</v>
      </c>
      <c r="T30" s="9" t="s">
        <v>51</v>
      </c>
      <c r="U30" s="42">
        <v>115</v>
      </c>
      <c r="V30" s="9">
        <v>5.0099999999999999E-2</v>
      </c>
      <c r="W30" s="10">
        <f>+U30*V30</f>
        <v>5.7614999999999998</v>
      </c>
    </row>
    <row r="31" spans="1:59" x14ac:dyDescent="0.25">
      <c r="B31" s="15" t="s">
        <v>7</v>
      </c>
      <c r="C31" s="16" t="s">
        <v>6</v>
      </c>
      <c r="D31" s="6" t="s">
        <v>52</v>
      </c>
      <c r="E31" s="41">
        <v>66</v>
      </c>
      <c r="F31" s="6">
        <v>1.9800000000000002E-2</v>
      </c>
      <c r="G31" s="7">
        <f>+E31*F31</f>
        <v>1.3068000000000002</v>
      </c>
      <c r="H31" s="6" t="s">
        <v>52</v>
      </c>
      <c r="I31" s="41">
        <v>53</v>
      </c>
      <c r="J31" s="6">
        <v>1.9800000000000002E-2</v>
      </c>
      <c r="K31" s="7">
        <f>+I31*J31</f>
        <v>1.0494000000000001</v>
      </c>
      <c r="L31" s="6" t="s">
        <v>52</v>
      </c>
      <c r="M31" s="41">
        <v>80</v>
      </c>
      <c r="N31" s="6">
        <v>1.9800000000000002E-2</v>
      </c>
      <c r="O31" s="7">
        <f>+M31*N31</f>
        <v>1.5840000000000001</v>
      </c>
      <c r="P31" s="6" t="s">
        <v>52</v>
      </c>
      <c r="Q31" s="41">
        <v>49</v>
      </c>
      <c r="R31" s="6">
        <v>1.9800000000000002E-2</v>
      </c>
      <c r="S31" s="7">
        <f>+Q31*R31</f>
        <v>0.97020000000000006</v>
      </c>
      <c r="T31" s="6" t="s">
        <v>52</v>
      </c>
      <c r="U31" s="41">
        <v>49</v>
      </c>
      <c r="V31" s="6">
        <v>1.9800000000000002E-2</v>
      </c>
      <c r="W31" s="7">
        <f>+U31*V31</f>
        <v>0.97020000000000006</v>
      </c>
    </row>
    <row r="32" spans="1:59" x14ac:dyDescent="0.25">
      <c r="B32" s="17" t="s">
        <v>7</v>
      </c>
      <c r="C32" s="18" t="s">
        <v>6</v>
      </c>
      <c r="D32" s="9" t="s">
        <v>51</v>
      </c>
      <c r="E32" s="42"/>
      <c r="F32" s="9">
        <v>5.45E-2</v>
      </c>
      <c r="G32" s="10">
        <f t="shared" ref="G32" si="38">+E32*F32</f>
        <v>0</v>
      </c>
      <c r="H32" s="9" t="s">
        <v>51</v>
      </c>
      <c r="I32" s="42">
        <v>2</v>
      </c>
      <c r="J32" s="9">
        <v>5.45E-2</v>
      </c>
      <c r="K32" s="10">
        <f t="shared" ref="K32" si="39">+I32*J32</f>
        <v>0.109</v>
      </c>
      <c r="L32" s="9" t="s">
        <v>51</v>
      </c>
      <c r="M32" s="42"/>
      <c r="N32" s="9">
        <v>5.45E-2</v>
      </c>
      <c r="O32" s="10">
        <f t="shared" ref="O32" si="40">+M32*N32</f>
        <v>0</v>
      </c>
      <c r="P32" s="9" t="s">
        <v>51</v>
      </c>
      <c r="Q32" s="42"/>
      <c r="R32" s="9">
        <v>5.0099999999999999E-2</v>
      </c>
      <c r="S32" s="10">
        <f t="shared" ref="S32" si="41">+Q32*R32</f>
        <v>0</v>
      </c>
      <c r="T32" s="9" t="s">
        <v>51</v>
      </c>
      <c r="U32" s="42"/>
      <c r="V32" s="9">
        <v>5.0099999999999999E-2</v>
      </c>
      <c r="W32" s="10">
        <f t="shared" ref="W32" si="42">+U32*V32</f>
        <v>0</v>
      </c>
    </row>
    <row r="33" spans="1:23" x14ac:dyDescent="0.25">
      <c r="B33" s="15" t="s">
        <v>25</v>
      </c>
      <c r="C33" s="16" t="s">
        <v>24</v>
      </c>
      <c r="D33" s="6" t="s">
        <v>52</v>
      </c>
      <c r="E33" s="41">
        <v>22</v>
      </c>
      <c r="F33" s="6">
        <v>1.9800000000000002E-2</v>
      </c>
      <c r="G33" s="7">
        <f t="shared" ref="G33" si="43">+E33*F33</f>
        <v>0.43560000000000004</v>
      </c>
      <c r="H33" s="6" t="s">
        <v>52</v>
      </c>
      <c r="I33" s="41">
        <v>74</v>
      </c>
      <c r="J33" s="6">
        <v>1.9800000000000002E-2</v>
      </c>
      <c r="K33" s="7">
        <f t="shared" ref="K33:K34" si="44">+I33*J33</f>
        <v>1.4652000000000001</v>
      </c>
      <c r="L33" s="6" t="s">
        <v>52</v>
      </c>
      <c r="M33" s="41">
        <v>86</v>
      </c>
      <c r="N33" s="6">
        <v>1.9800000000000002E-2</v>
      </c>
      <c r="O33" s="7">
        <f t="shared" ref="O33:O34" si="45">+M33*N33</f>
        <v>1.7028000000000001</v>
      </c>
      <c r="P33" s="6" t="s">
        <v>52</v>
      </c>
      <c r="Q33" s="41">
        <v>84</v>
      </c>
      <c r="R33" s="6">
        <v>1.9800000000000002E-2</v>
      </c>
      <c r="S33" s="7">
        <f t="shared" ref="S33:S34" si="46">+Q33*R33</f>
        <v>1.6632000000000002</v>
      </c>
      <c r="T33" s="6" t="s">
        <v>52</v>
      </c>
      <c r="U33" s="41">
        <v>84</v>
      </c>
      <c r="V33" s="6">
        <v>1.9800000000000002E-2</v>
      </c>
      <c r="W33" s="7">
        <f t="shared" ref="W33:W34" si="47">+U33*V33</f>
        <v>1.6632000000000002</v>
      </c>
    </row>
    <row r="34" spans="1:23" x14ac:dyDescent="0.25">
      <c r="B34" s="17" t="s">
        <v>25</v>
      </c>
      <c r="C34" s="18" t="s">
        <v>24</v>
      </c>
      <c r="D34" s="9" t="s">
        <v>51</v>
      </c>
      <c r="E34" s="42"/>
      <c r="F34" s="9">
        <v>5.45E-2</v>
      </c>
      <c r="G34" s="10">
        <f t="shared" ref="G34" si="48">+E34*F34</f>
        <v>0</v>
      </c>
      <c r="H34" s="9" t="s">
        <v>51</v>
      </c>
      <c r="I34" s="42">
        <v>2</v>
      </c>
      <c r="J34" s="9">
        <v>5.45E-2</v>
      </c>
      <c r="K34" s="10">
        <f t="shared" si="44"/>
        <v>0.109</v>
      </c>
      <c r="L34" s="9" t="s">
        <v>51</v>
      </c>
      <c r="M34" s="42">
        <v>540</v>
      </c>
      <c r="N34" s="9">
        <v>5.45E-2</v>
      </c>
      <c r="O34" s="10">
        <f t="shared" si="45"/>
        <v>29.43</v>
      </c>
      <c r="P34" s="9" t="s">
        <v>51</v>
      </c>
      <c r="Q34" s="42"/>
      <c r="R34" s="9">
        <v>5.0099999999999999E-2</v>
      </c>
      <c r="S34" s="10">
        <f t="shared" si="46"/>
        <v>0</v>
      </c>
      <c r="T34" s="9" t="s">
        <v>51</v>
      </c>
      <c r="U34" s="42"/>
      <c r="V34" s="9">
        <v>5.0099999999999999E-2</v>
      </c>
      <c r="W34" s="10">
        <f t="shared" si="47"/>
        <v>0</v>
      </c>
    </row>
    <row r="35" spans="1:23" x14ac:dyDescent="0.25">
      <c r="B35" s="15" t="s">
        <v>22</v>
      </c>
      <c r="C35" s="16" t="s">
        <v>21</v>
      </c>
      <c r="D35" s="6" t="s">
        <v>52</v>
      </c>
      <c r="E35" s="41"/>
      <c r="F35" s="6">
        <v>1.9800000000000002E-2</v>
      </c>
      <c r="G35" s="7">
        <f>+E35*F35</f>
        <v>0</v>
      </c>
      <c r="H35" s="6" t="s">
        <v>52</v>
      </c>
      <c r="I35" s="41">
        <v>4652</v>
      </c>
      <c r="J35" s="6">
        <v>1.9800000000000002E-2</v>
      </c>
      <c r="K35" s="7">
        <f>+I35*J35</f>
        <v>92.109600000000015</v>
      </c>
      <c r="L35" s="6" t="s">
        <v>52</v>
      </c>
      <c r="M35" s="41">
        <v>2420</v>
      </c>
      <c r="N35" s="6">
        <v>1.9800000000000002E-2</v>
      </c>
      <c r="O35" s="7">
        <f>+M35*N35</f>
        <v>47.916000000000004</v>
      </c>
      <c r="P35" s="6" t="s">
        <v>52</v>
      </c>
      <c r="Q35" s="41">
        <v>2051</v>
      </c>
      <c r="R35" s="6">
        <v>1.9800000000000002E-2</v>
      </c>
      <c r="S35" s="7">
        <f>+Q35*R35</f>
        <v>40.6098</v>
      </c>
      <c r="T35" s="6" t="s">
        <v>52</v>
      </c>
      <c r="U35" s="41">
        <v>1788</v>
      </c>
      <c r="V35" s="6">
        <v>1.9800000000000002E-2</v>
      </c>
      <c r="W35" s="7">
        <f>+U35*V35</f>
        <v>35.4024</v>
      </c>
    </row>
    <row r="36" spans="1:23" x14ac:dyDescent="0.25">
      <c r="B36" s="17" t="s">
        <v>22</v>
      </c>
      <c r="C36" s="18" t="s">
        <v>21</v>
      </c>
      <c r="D36" s="9" t="s">
        <v>51</v>
      </c>
      <c r="E36" s="42"/>
      <c r="F36" s="9">
        <v>5.45E-2</v>
      </c>
      <c r="G36" s="10">
        <f t="shared" ref="G36" si="49">+E36*F36</f>
        <v>0</v>
      </c>
      <c r="H36" s="9" t="s">
        <v>51</v>
      </c>
      <c r="I36" s="42"/>
      <c r="J36" s="9">
        <v>5.45E-2</v>
      </c>
      <c r="K36" s="10">
        <f t="shared" ref="K36" si="50">+I36*J36</f>
        <v>0</v>
      </c>
      <c r="L36" s="9" t="s">
        <v>51</v>
      </c>
      <c r="M36" s="42"/>
      <c r="N36" s="9">
        <v>5.45E-2</v>
      </c>
      <c r="O36" s="10">
        <f t="shared" ref="O36" si="51">+M36*N36</f>
        <v>0</v>
      </c>
      <c r="P36" s="9" t="s">
        <v>51</v>
      </c>
      <c r="Q36" s="42"/>
      <c r="R36" s="9">
        <v>5.0099999999999999E-2</v>
      </c>
      <c r="S36" s="10">
        <f t="shared" ref="S36" si="52">+Q36*R36</f>
        <v>0</v>
      </c>
      <c r="T36" s="9" t="s">
        <v>51</v>
      </c>
      <c r="U36" s="42"/>
      <c r="V36" s="9">
        <v>5.0099999999999999E-2</v>
      </c>
      <c r="W36" s="10">
        <f t="shared" ref="W36" si="53">+U36*V36</f>
        <v>0</v>
      </c>
    </row>
    <row r="37" spans="1:23" x14ac:dyDescent="0.25">
      <c r="A37" s="1" t="s">
        <v>12</v>
      </c>
      <c r="B37" s="11" t="s">
        <v>28</v>
      </c>
      <c r="C37" s="12" t="s">
        <v>10</v>
      </c>
      <c r="D37" s="6" t="s">
        <v>52</v>
      </c>
      <c r="E37" s="41"/>
      <c r="F37" s="6">
        <v>1.9800000000000002E-2</v>
      </c>
      <c r="G37" s="7">
        <f>+E37*F37</f>
        <v>0</v>
      </c>
      <c r="H37" s="6" t="s">
        <v>52</v>
      </c>
      <c r="I37" s="41"/>
      <c r="J37" s="6">
        <v>1.9800000000000002E-2</v>
      </c>
      <c r="K37" s="7">
        <f>+I37*J37</f>
        <v>0</v>
      </c>
      <c r="L37" s="6" t="s">
        <v>52</v>
      </c>
      <c r="M37" s="41"/>
      <c r="N37" s="6">
        <v>1.9800000000000002E-2</v>
      </c>
      <c r="O37" s="7">
        <f>+M37*N37</f>
        <v>0</v>
      </c>
      <c r="P37" s="6" t="s">
        <v>52</v>
      </c>
      <c r="Q37" s="41"/>
      <c r="R37" s="6">
        <v>1.9800000000000002E-2</v>
      </c>
      <c r="S37" s="7">
        <f>+Q37*R37</f>
        <v>0</v>
      </c>
      <c r="T37" s="6" t="s">
        <v>52</v>
      </c>
      <c r="U37" s="41"/>
      <c r="V37" s="6">
        <v>1.9800000000000002E-2</v>
      </c>
      <c r="W37" s="7">
        <f>+U37*V37</f>
        <v>0</v>
      </c>
    </row>
    <row r="38" spans="1:23" x14ac:dyDescent="0.25">
      <c r="A38" s="1" t="s">
        <v>12</v>
      </c>
      <c r="B38" s="13" t="s">
        <v>28</v>
      </c>
      <c r="C38" s="14" t="s">
        <v>10</v>
      </c>
      <c r="D38" s="9" t="s">
        <v>51</v>
      </c>
      <c r="E38" s="42"/>
      <c r="F38" s="9">
        <v>5.45E-2</v>
      </c>
      <c r="G38" s="10">
        <f>+E38*F38</f>
        <v>0</v>
      </c>
      <c r="H38" s="9" t="s">
        <v>51</v>
      </c>
      <c r="I38" s="42"/>
      <c r="J38" s="9">
        <v>5.45E-2</v>
      </c>
      <c r="K38" s="10">
        <f>+I38*J38</f>
        <v>0</v>
      </c>
      <c r="L38" s="9" t="s">
        <v>51</v>
      </c>
      <c r="M38" s="42"/>
      <c r="N38" s="9">
        <v>5.45E-2</v>
      </c>
      <c r="O38" s="10">
        <f>+M38*N38</f>
        <v>0</v>
      </c>
      <c r="P38" s="9" t="s">
        <v>51</v>
      </c>
      <c r="Q38" s="42"/>
      <c r="R38" s="9">
        <v>5.0099999999999999E-2</v>
      </c>
      <c r="S38" s="10">
        <f>+Q38*R38</f>
        <v>0</v>
      </c>
      <c r="T38" s="9" t="s">
        <v>51</v>
      </c>
      <c r="U38" s="42"/>
      <c r="V38" s="9">
        <v>5.0099999999999999E-2</v>
      </c>
      <c r="W38" s="10">
        <f>+U38*V38</f>
        <v>0</v>
      </c>
    </row>
    <row r="39" spans="1:23" x14ac:dyDescent="0.25">
      <c r="B39" s="15" t="s">
        <v>30</v>
      </c>
      <c r="C39" s="16" t="s">
        <v>29</v>
      </c>
      <c r="D39" s="6" t="s">
        <v>52</v>
      </c>
      <c r="E39" s="41">
        <v>17</v>
      </c>
      <c r="F39" s="6">
        <v>1.9800000000000002E-2</v>
      </c>
      <c r="G39" s="7">
        <f t="shared" ref="G39" si="54">+E39*F39</f>
        <v>0.33660000000000001</v>
      </c>
      <c r="H39" s="6" t="s">
        <v>52</v>
      </c>
      <c r="I39" s="41"/>
      <c r="J39" s="6">
        <v>1.9800000000000002E-2</v>
      </c>
      <c r="K39" s="7">
        <f t="shared" ref="K39:K40" si="55">+I39*J39</f>
        <v>0</v>
      </c>
      <c r="L39" s="6" t="s">
        <v>52</v>
      </c>
      <c r="M39" s="41">
        <v>29</v>
      </c>
      <c r="N39" s="6">
        <v>1.9800000000000002E-2</v>
      </c>
      <c r="O39" s="7">
        <f t="shared" ref="O39:O40" si="56">+M39*N39</f>
        <v>0.57420000000000004</v>
      </c>
      <c r="P39" s="6" t="s">
        <v>52</v>
      </c>
      <c r="Q39" s="41">
        <v>16</v>
      </c>
      <c r="R39" s="6">
        <v>1.9800000000000002E-2</v>
      </c>
      <c r="S39" s="7">
        <f t="shared" ref="S39:S40" si="57">+Q39*R39</f>
        <v>0.31680000000000003</v>
      </c>
      <c r="T39" s="6" t="s">
        <v>52</v>
      </c>
      <c r="U39" s="41">
        <v>29</v>
      </c>
      <c r="V39" s="6">
        <v>1.9800000000000002E-2</v>
      </c>
      <c r="W39" s="7">
        <f t="shared" ref="W39:W40" si="58">+U39*V39</f>
        <v>0.57420000000000004</v>
      </c>
    </row>
    <row r="40" spans="1:23" x14ac:dyDescent="0.25">
      <c r="B40" s="17" t="s">
        <v>30</v>
      </c>
      <c r="C40" s="18" t="s">
        <v>29</v>
      </c>
      <c r="D40" s="9" t="s">
        <v>51</v>
      </c>
      <c r="E40" s="42"/>
      <c r="F40" s="9">
        <v>5.45E-2</v>
      </c>
      <c r="G40" s="10">
        <f t="shared" ref="G40" si="59">+E40*F40</f>
        <v>0</v>
      </c>
      <c r="H40" s="9" t="s">
        <v>51</v>
      </c>
      <c r="I40" s="42"/>
      <c r="J40" s="9">
        <v>5.45E-2</v>
      </c>
      <c r="K40" s="10">
        <f t="shared" si="55"/>
        <v>0</v>
      </c>
      <c r="L40" s="9" t="s">
        <v>51</v>
      </c>
      <c r="M40" s="42">
        <v>5</v>
      </c>
      <c r="N40" s="9">
        <v>5.45E-2</v>
      </c>
      <c r="O40" s="10">
        <f t="shared" si="56"/>
        <v>0.27250000000000002</v>
      </c>
      <c r="P40" s="9" t="s">
        <v>51</v>
      </c>
      <c r="Q40" s="42">
        <v>5</v>
      </c>
      <c r="R40" s="9">
        <v>5.0099999999999999E-2</v>
      </c>
      <c r="S40" s="10">
        <f t="shared" si="57"/>
        <v>0.2505</v>
      </c>
      <c r="T40" s="9" t="s">
        <v>51</v>
      </c>
      <c r="U40" s="42">
        <v>1</v>
      </c>
      <c r="V40" s="9">
        <v>5.0099999999999999E-2</v>
      </c>
      <c r="W40" s="10">
        <f t="shared" si="58"/>
        <v>5.0099999999999999E-2</v>
      </c>
    </row>
    <row r="41" spans="1:23" x14ac:dyDescent="0.25">
      <c r="B41" s="15" t="s">
        <v>5</v>
      </c>
      <c r="C41" s="16" t="s">
        <v>4</v>
      </c>
      <c r="D41" s="6" t="s">
        <v>52</v>
      </c>
      <c r="E41" s="41"/>
      <c r="F41" s="6">
        <v>1.9800000000000002E-2</v>
      </c>
      <c r="G41" s="7">
        <f t="shared" ref="G41:G42" si="60">+E41*F41</f>
        <v>0</v>
      </c>
      <c r="H41" s="6" t="s">
        <v>52</v>
      </c>
      <c r="I41" s="41"/>
      <c r="J41" s="6">
        <v>1.9800000000000002E-2</v>
      </c>
      <c r="K41" s="7">
        <f t="shared" ref="K41:K42" si="61">+I41*J41</f>
        <v>0</v>
      </c>
      <c r="L41" s="6" t="s">
        <v>52</v>
      </c>
      <c r="M41" s="41"/>
      <c r="N41" s="6">
        <v>1.9800000000000002E-2</v>
      </c>
      <c r="O41" s="7">
        <f t="shared" ref="O41:O42" si="62">+M41*N41</f>
        <v>0</v>
      </c>
      <c r="P41" s="6" t="s">
        <v>52</v>
      </c>
      <c r="Q41" s="41"/>
      <c r="R41" s="6">
        <v>1.9800000000000002E-2</v>
      </c>
      <c r="S41" s="7">
        <f t="shared" ref="S41:S42" si="63">+Q41*R41</f>
        <v>0</v>
      </c>
      <c r="T41" s="6" t="s">
        <v>52</v>
      </c>
      <c r="U41" s="41">
        <v>109</v>
      </c>
      <c r="V41" s="6">
        <v>1.9800000000000002E-2</v>
      </c>
      <c r="W41" s="7">
        <f t="shared" ref="W41:W42" si="64">+U41*V41</f>
        <v>2.1582000000000003</v>
      </c>
    </row>
    <row r="42" spans="1:23" x14ac:dyDescent="0.25">
      <c r="B42" s="17" t="s">
        <v>5</v>
      </c>
      <c r="C42" s="18" t="s">
        <v>4</v>
      </c>
      <c r="D42" s="9" t="s">
        <v>51</v>
      </c>
      <c r="E42" s="42"/>
      <c r="F42" s="9">
        <v>5.45E-2</v>
      </c>
      <c r="G42" s="10">
        <f t="shared" si="60"/>
        <v>0</v>
      </c>
      <c r="H42" s="9" t="s">
        <v>51</v>
      </c>
      <c r="I42" s="42"/>
      <c r="J42" s="9">
        <v>5.45E-2</v>
      </c>
      <c r="K42" s="10">
        <f t="shared" si="61"/>
        <v>0</v>
      </c>
      <c r="L42" s="9" t="s">
        <v>51</v>
      </c>
      <c r="M42" s="42"/>
      <c r="N42" s="9">
        <v>5.45E-2</v>
      </c>
      <c r="O42" s="10">
        <f t="shared" si="62"/>
        <v>0</v>
      </c>
      <c r="P42" s="9" t="s">
        <v>51</v>
      </c>
      <c r="Q42" s="42"/>
      <c r="R42" s="9">
        <v>5.0099999999999999E-2</v>
      </c>
      <c r="S42" s="10">
        <f t="shared" si="63"/>
        <v>0</v>
      </c>
      <c r="T42" s="9" t="s">
        <v>51</v>
      </c>
      <c r="U42" s="42">
        <v>33</v>
      </c>
      <c r="V42" s="9">
        <v>5.0099999999999999E-2</v>
      </c>
      <c r="W42" s="10">
        <f t="shared" si="64"/>
        <v>1.6533</v>
      </c>
    </row>
    <row r="43" spans="1:23" x14ac:dyDescent="0.25">
      <c r="A43" s="29"/>
      <c r="B43" s="23" t="s">
        <v>36</v>
      </c>
      <c r="C43" s="24" t="s">
        <v>35</v>
      </c>
      <c r="D43" s="6" t="s">
        <v>52</v>
      </c>
      <c r="E43" s="41">
        <v>163</v>
      </c>
      <c r="F43" s="6">
        <v>1.35E-2</v>
      </c>
      <c r="G43" s="7">
        <f>+E43*F43</f>
        <v>2.2004999999999999</v>
      </c>
      <c r="H43" s="6" t="s">
        <v>52</v>
      </c>
      <c r="I43" s="41"/>
      <c r="J43" s="6">
        <v>1.35E-2</v>
      </c>
      <c r="K43" s="7">
        <f>+I43*J43</f>
        <v>0</v>
      </c>
      <c r="L43" s="6" t="s">
        <v>52</v>
      </c>
      <c r="M43" s="41"/>
      <c r="N43" s="6">
        <v>1.35E-2</v>
      </c>
      <c r="O43" s="7">
        <f>+M43*N43</f>
        <v>0</v>
      </c>
      <c r="P43" s="6" t="s">
        <v>52</v>
      </c>
      <c r="Q43" s="41">
        <v>153</v>
      </c>
      <c r="R43" s="6">
        <v>1.3599999999999999E-2</v>
      </c>
      <c r="S43" s="7">
        <f>+Q43*R43</f>
        <v>2.0808</v>
      </c>
      <c r="T43" s="6" t="s">
        <v>52</v>
      </c>
      <c r="U43" s="41">
        <v>395</v>
      </c>
      <c r="V43" s="6">
        <v>1.3599999999999999E-2</v>
      </c>
      <c r="W43" s="7">
        <f>+U43*V43</f>
        <v>5.3719999999999999</v>
      </c>
    </row>
    <row r="44" spans="1:23" x14ac:dyDescent="0.25">
      <c r="A44" s="29"/>
      <c r="B44" s="25" t="s">
        <v>36</v>
      </c>
      <c r="C44" s="26" t="s">
        <v>35</v>
      </c>
      <c r="D44" s="9" t="s">
        <v>51</v>
      </c>
      <c r="E44" s="42">
        <v>860</v>
      </c>
      <c r="F44" s="9">
        <v>5.9900000000000002E-2</v>
      </c>
      <c r="G44" s="10">
        <f t="shared" ref="G44" si="65">+E44*F44</f>
        <v>51.514000000000003</v>
      </c>
      <c r="H44" s="9" t="s">
        <v>51</v>
      </c>
      <c r="I44" s="42">
        <v>880</v>
      </c>
      <c r="J44" s="9">
        <v>5.9900000000000002E-2</v>
      </c>
      <c r="K44" s="10">
        <f t="shared" ref="K44" si="66">+I44*J44</f>
        <v>52.712000000000003</v>
      </c>
      <c r="L44" s="9" t="s">
        <v>51</v>
      </c>
      <c r="M44" s="42">
        <v>735</v>
      </c>
      <c r="N44" s="9">
        <v>5.9900000000000002E-2</v>
      </c>
      <c r="O44" s="10">
        <f t="shared" ref="O44" si="67">+M44*N44</f>
        <v>44.026499999999999</v>
      </c>
      <c r="P44" s="9" t="s">
        <v>51</v>
      </c>
      <c r="Q44" s="42">
        <v>707</v>
      </c>
      <c r="R44" s="9">
        <v>6.0100000000000001E-2</v>
      </c>
      <c r="S44" s="10">
        <f t="shared" ref="S44" si="68">+Q44*R44</f>
        <v>42.490700000000004</v>
      </c>
      <c r="T44" s="9" t="s">
        <v>51</v>
      </c>
      <c r="U44" s="42">
        <v>767</v>
      </c>
      <c r="V44" s="9">
        <v>6.0100000000000001E-2</v>
      </c>
      <c r="W44" s="10">
        <f t="shared" ref="W44" si="69">+U44*V44</f>
        <v>46.096699999999998</v>
      </c>
    </row>
    <row r="45" spans="1:23" x14ac:dyDescent="0.25">
      <c r="A45" s="29"/>
      <c r="B45" s="23" t="s">
        <v>38</v>
      </c>
      <c r="C45" s="24" t="s">
        <v>37</v>
      </c>
      <c r="D45" s="6" t="s">
        <v>52</v>
      </c>
      <c r="E45" s="41">
        <v>779</v>
      </c>
      <c r="F45" s="6">
        <v>2.07E-2</v>
      </c>
      <c r="G45" s="7">
        <f>+E45*F45</f>
        <v>16.125299999999999</v>
      </c>
      <c r="H45" s="6" t="s">
        <v>52</v>
      </c>
      <c r="I45" s="41">
        <v>274</v>
      </c>
      <c r="J45" s="6">
        <v>2.07E-2</v>
      </c>
      <c r="K45" s="7">
        <f>+I45*J45</f>
        <v>5.6718000000000002</v>
      </c>
      <c r="L45" s="6" t="s">
        <v>52</v>
      </c>
      <c r="M45" s="41">
        <v>605</v>
      </c>
      <c r="N45" s="6">
        <v>2.07E-2</v>
      </c>
      <c r="O45" s="7">
        <f>+M45*N45</f>
        <v>12.5235</v>
      </c>
      <c r="P45" s="6" t="s">
        <v>52</v>
      </c>
      <c r="Q45" s="41">
        <v>1115</v>
      </c>
      <c r="R45" s="6">
        <v>2.0199999999999999E-2</v>
      </c>
      <c r="S45" s="7">
        <f>+Q45*R45</f>
        <v>22.523</v>
      </c>
      <c r="T45" s="6" t="s">
        <v>52</v>
      </c>
      <c r="U45" s="41">
        <v>598</v>
      </c>
      <c r="V45" s="6">
        <v>2.0199999999999999E-2</v>
      </c>
      <c r="W45" s="7">
        <f>+U45*V45</f>
        <v>12.079599999999999</v>
      </c>
    </row>
    <row r="46" spans="1:23" x14ac:dyDescent="0.25">
      <c r="A46" s="29"/>
      <c r="B46" s="25" t="s">
        <v>38</v>
      </c>
      <c r="C46" s="26" t="s">
        <v>37</v>
      </c>
      <c r="D46" s="9" t="s">
        <v>51</v>
      </c>
      <c r="E46" s="42">
        <v>44</v>
      </c>
      <c r="F46" s="9">
        <v>5.5399999999999998E-2</v>
      </c>
      <c r="G46" s="10">
        <f t="shared" ref="G46" si="70">+E46*F46</f>
        <v>2.4375999999999998</v>
      </c>
      <c r="H46" s="9" t="s">
        <v>51</v>
      </c>
      <c r="I46" s="42">
        <v>54</v>
      </c>
      <c r="J46" s="9">
        <v>5.5399999999999998E-2</v>
      </c>
      <c r="K46" s="10">
        <f t="shared" ref="K46" si="71">+I46*J46</f>
        <v>2.9916</v>
      </c>
      <c r="L46" s="9" t="s">
        <v>51</v>
      </c>
      <c r="M46" s="42">
        <v>276</v>
      </c>
      <c r="N46" s="9">
        <v>5.5399999999999998E-2</v>
      </c>
      <c r="O46" s="10">
        <f t="shared" ref="O46" si="72">+M46*N46</f>
        <v>15.2904</v>
      </c>
      <c r="P46" s="9" t="s">
        <v>51</v>
      </c>
      <c r="Q46" s="42">
        <v>561</v>
      </c>
      <c r="R46" s="9">
        <v>5.1900000000000002E-2</v>
      </c>
      <c r="S46" s="10">
        <f t="shared" ref="S46" si="73">+Q46*R46</f>
        <v>29.1159</v>
      </c>
      <c r="T46" s="9" t="s">
        <v>51</v>
      </c>
      <c r="U46" s="42">
        <v>806</v>
      </c>
      <c r="V46" s="9">
        <v>5.1900000000000002E-2</v>
      </c>
      <c r="W46" s="10">
        <f t="shared" ref="W46" si="74">+U46*V46</f>
        <v>41.831400000000002</v>
      </c>
    </row>
    <row r="47" spans="1:23" x14ac:dyDescent="0.25">
      <c r="A47" s="29"/>
      <c r="B47" s="19" t="s">
        <v>46</v>
      </c>
      <c r="C47" s="21" t="s">
        <v>45</v>
      </c>
      <c r="D47" s="6" t="s">
        <v>52</v>
      </c>
      <c r="E47" s="41">
        <v>17558</v>
      </c>
      <c r="F47" s="6">
        <v>1.46E-2</v>
      </c>
      <c r="G47" s="7">
        <f>+E47*F47</f>
        <v>256.34680000000003</v>
      </c>
      <c r="H47" s="6" t="s">
        <v>52</v>
      </c>
      <c r="I47" s="41">
        <v>16511</v>
      </c>
      <c r="J47" s="6">
        <v>1.46E-2</v>
      </c>
      <c r="K47" s="7">
        <f>+I47*J47</f>
        <v>241.06059999999999</v>
      </c>
      <c r="L47" s="6" t="s">
        <v>52</v>
      </c>
      <c r="M47" s="41">
        <v>17680</v>
      </c>
      <c r="N47" s="6">
        <v>1.46E-2</v>
      </c>
      <c r="O47" s="7">
        <f>+M47*N47</f>
        <v>258.12799999999999</v>
      </c>
      <c r="P47" s="6" t="s">
        <v>52</v>
      </c>
      <c r="Q47" s="41">
        <v>16309</v>
      </c>
      <c r="R47" s="6">
        <v>1.11E-2</v>
      </c>
      <c r="S47" s="7">
        <f>+Q47*R47</f>
        <v>181.0299</v>
      </c>
      <c r="T47" s="6" t="s">
        <v>52</v>
      </c>
      <c r="U47" s="41">
        <v>13318</v>
      </c>
      <c r="V47" s="6">
        <v>1.11E-2</v>
      </c>
      <c r="W47" s="7">
        <f>+U47*V47</f>
        <v>147.82980000000001</v>
      </c>
    </row>
    <row r="48" spans="1:23" x14ac:dyDescent="0.25">
      <c r="B48" s="20" t="s">
        <v>46</v>
      </c>
      <c r="C48" s="22" t="s">
        <v>45</v>
      </c>
      <c r="D48" s="9" t="s">
        <v>51</v>
      </c>
      <c r="E48" s="42"/>
      <c r="F48" s="9">
        <v>5.45E-2</v>
      </c>
      <c r="G48" s="10">
        <f t="shared" ref="G48" si="75">+E48*F48</f>
        <v>0</v>
      </c>
      <c r="H48" s="9" t="s">
        <v>51</v>
      </c>
      <c r="I48" s="42"/>
      <c r="J48" s="9">
        <v>5.45E-2</v>
      </c>
      <c r="K48" s="10">
        <f t="shared" ref="K48" si="76">+I48*J48</f>
        <v>0</v>
      </c>
      <c r="L48" s="9" t="s">
        <v>51</v>
      </c>
      <c r="M48" s="42"/>
      <c r="N48" s="9">
        <v>5.45E-2</v>
      </c>
      <c r="O48" s="10">
        <f t="shared" ref="O48" si="77">+M48*N48</f>
        <v>0</v>
      </c>
      <c r="P48" s="9" t="s">
        <v>51</v>
      </c>
      <c r="Q48" s="42"/>
      <c r="R48" s="9">
        <v>5.45E-2</v>
      </c>
      <c r="S48" s="10">
        <f t="shared" ref="S48" si="78">+Q48*R48</f>
        <v>0</v>
      </c>
      <c r="T48" s="9" t="s">
        <v>51</v>
      </c>
      <c r="U48" s="42"/>
      <c r="V48" s="9">
        <v>5.45E-2</v>
      </c>
      <c r="W48" s="10">
        <f t="shared" ref="W48" si="79">+U48*V48</f>
        <v>0</v>
      </c>
    </row>
    <row r="49" spans="2:25" x14ac:dyDescent="0.25">
      <c r="B49" s="19" t="s">
        <v>42</v>
      </c>
      <c r="C49" s="21" t="s">
        <v>41</v>
      </c>
      <c r="D49" s="6" t="s">
        <v>52</v>
      </c>
      <c r="E49" s="41">
        <v>7780</v>
      </c>
      <c r="F49" s="6">
        <v>1.46E-2</v>
      </c>
      <c r="G49" s="7">
        <f>+E49*F49</f>
        <v>113.58800000000001</v>
      </c>
      <c r="H49" s="6" t="s">
        <v>52</v>
      </c>
      <c r="I49" s="41">
        <v>7036</v>
      </c>
      <c r="J49" s="6">
        <v>1.46E-2</v>
      </c>
      <c r="K49" s="7">
        <f>+I49*J49</f>
        <v>102.7256</v>
      </c>
      <c r="L49" s="6" t="s">
        <v>52</v>
      </c>
      <c r="M49" s="41">
        <v>6130</v>
      </c>
      <c r="N49" s="6">
        <v>1.46E-2</v>
      </c>
      <c r="O49" s="7">
        <f>+M49*N49</f>
        <v>89.498000000000005</v>
      </c>
      <c r="P49" s="6" t="s">
        <v>52</v>
      </c>
      <c r="Q49" s="41">
        <v>6734</v>
      </c>
      <c r="R49" s="6">
        <v>1.11E-2</v>
      </c>
      <c r="S49" s="7">
        <f>+Q49*R49</f>
        <v>74.747399999999999</v>
      </c>
      <c r="T49" s="6" t="s">
        <v>52</v>
      </c>
      <c r="U49" s="41">
        <v>6228</v>
      </c>
      <c r="V49" s="6">
        <v>1.11E-2</v>
      </c>
      <c r="W49" s="7">
        <f>+U49*V49</f>
        <v>69.130800000000008</v>
      </c>
    </row>
    <row r="50" spans="2:25" x14ac:dyDescent="0.25">
      <c r="B50" s="20" t="s">
        <v>42</v>
      </c>
      <c r="C50" s="22" t="s">
        <v>41</v>
      </c>
      <c r="D50" s="9" t="s">
        <v>51</v>
      </c>
      <c r="E50" s="42"/>
      <c r="F50" s="9">
        <v>5.45E-2</v>
      </c>
      <c r="G50" s="10">
        <f t="shared" ref="G50" si="80">+E50*F50</f>
        <v>0</v>
      </c>
      <c r="H50" s="9" t="s">
        <v>51</v>
      </c>
      <c r="I50" s="42"/>
      <c r="J50" s="9">
        <v>5.45E-2</v>
      </c>
      <c r="K50" s="10">
        <f t="shared" ref="K50" si="81">+I50*J50</f>
        <v>0</v>
      </c>
      <c r="L50" s="9" t="s">
        <v>51</v>
      </c>
      <c r="M50" s="42"/>
      <c r="N50" s="9">
        <v>5.45E-2</v>
      </c>
      <c r="O50" s="10">
        <f t="shared" ref="O50" si="82">+M50*N50</f>
        <v>0</v>
      </c>
      <c r="P50" s="9" t="s">
        <v>51</v>
      </c>
      <c r="Q50" s="42"/>
      <c r="R50" s="9">
        <v>5.0099999999999999E-2</v>
      </c>
      <c r="S50" s="10">
        <f t="shared" ref="S50" si="83">+Q50*R50</f>
        <v>0</v>
      </c>
      <c r="T50" s="9" t="s">
        <v>51</v>
      </c>
      <c r="U50" s="42"/>
      <c r="V50" s="9">
        <v>5.0099999999999999E-2</v>
      </c>
      <c r="W50" s="10">
        <f t="shared" ref="W50" si="84">+U50*V50</f>
        <v>0</v>
      </c>
    </row>
    <row r="51" spans="2:25" x14ac:dyDescent="0.25">
      <c r="B51" s="19" t="s">
        <v>40</v>
      </c>
      <c r="C51" s="21" t="s">
        <v>39</v>
      </c>
      <c r="D51" s="6" t="s">
        <v>52</v>
      </c>
      <c r="E51" s="41"/>
      <c r="F51" s="6">
        <v>1.9800000000000002E-2</v>
      </c>
      <c r="G51" s="7">
        <f>+E51*F51</f>
        <v>0</v>
      </c>
      <c r="H51" s="6" t="s">
        <v>52</v>
      </c>
      <c r="I51" s="41"/>
      <c r="J51" s="6">
        <v>1.9800000000000002E-2</v>
      </c>
      <c r="K51" s="7">
        <f>+I51*J51</f>
        <v>0</v>
      </c>
      <c r="L51" s="6" t="s">
        <v>52</v>
      </c>
      <c r="M51" s="41"/>
      <c r="N51" s="6">
        <v>1.9800000000000002E-2</v>
      </c>
      <c r="O51" s="7">
        <f>+M51*N51</f>
        <v>0</v>
      </c>
      <c r="P51" s="6" t="s">
        <v>52</v>
      </c>
      <c r="Q51" s="41"/>
      <c r="R51" s="6">
        <v>1.9800000000000002E-2</v>
      </c>
      <c r="S51" s="7">
        <f>+Q51*R51</f>
        <v>0</v>
      </c>
      <c r="T51" s="6" t="s">
        <v>52</v>
      </c>
      <c r="U51" s="41"/>
      <c r="V51" s="6">
        <v>1.9800000000000002E-2</v>
      </c>
      <c r="W51" s="7">
        <f>+U51*V51</f>
        <v>0</v>
      </c>
    </row>
    <row r="52" spans="2:25" x14ac:dyDescent="0.25">
      <c r="B52" s="20" t="s">
        <v>40</v>
      </c>
      <c r="C52" s="22" t="s">
        <v>39</v>
      </c>
      <c r="D52" s="9" t="s">
        <v>51</v>
      </c>
      <c r="E52" s="42"/>
      <c r="F52" s="9">
        <v>5.45E-2</v>
      </c>
      <c r="G52" s="10">
        <f t="shared" ref="G52" si="85">+E52*F52</f>
        <v>0</v>
      </c>
      <c r="H52" s="9" t="s">
        <v>51</v>
      </c>
      <c r="I52" s="42"/>
      <c r="J52" s="9">
        <v>5.45E-2</v>
      </c>
      <c r="K52" s="10">
        <f t="shared" ref="K52" si="86">+I52*J52</f>
        <v>0</v>
      </c>
      <c r="L52" s="9" t="s">
        <v>51</v>
      </c>
      <c r="M52" s="42"/>
      <c r="N52" s="9">
        <v>5.45E-2</v>
      </c>
      <c r="O52" s="10">
        <f t="shared" ref="O52" si="87">+M52*N52</f>
        <v>0</v>
      </c>
      <c r="P52" s="9" t="s">
        <v>51</v>
      </c>
      <c r="Q52" s="42"/>
      <c r="R52" s="9">
        <v>5.0099999999999999E-2</v>
      </c>
      <c r="S52" s="10">
        <f t="shared" ref="S52" si="88">+Q52*R52</f>
        <v>0</v>
      </c>
      <c r="T52" s="9" t="s">
        <v>51</v>
      </c>
      <c r="U52" s="42"/>
      <c r="V52" s="9">
        <v>5.0099999999999999E-2</v>
      </c>
      <c r="W52" s="10">
        <f t="shared" ref="W52" si="89">+U52*V52</f>
        <v>0</v>
      </c>
    </row>
    <row r="53" spans="2:25" s="2" customFormat="1" x14ac:dyDescent="0.25">
      <c r="E53" s="4">
        <f>SUM(E7:E52)</f>
        <v>34061</v>
      </c>
      <c r="I53" s="4">
        <f>SUM(I7:I52)</f>
        <v>37383</v>
      </c>
      <c r="M53" s="4">
        <f>SUM(M7:M52)</f>
        <v>38337</v>
      </c>
      <c r="Q53" s="4">
        <f>SUM(Q7:Q52)</f>
        <v>34270</v>
      </c>
      <c r="U53" s="4">
        <f>SUM(U7:U52)</f>
        <v>32437</v>
      </c>
      <c r="Y53" s="4">
        <f>(E53+I53+M53+Q53+U53)/5</f>
        <v>35297.599999999999</v>
      </c>
    </row>
    <row r="54" spans="2:25" s="2" customFormat="1" x14ac:dyDescent="0.25">
      <c r="D54" s="5" t="s">
        <v>54</v>
      </c>
      <c r="E54" s="6"/>
      <c r="F54" s="6"/>
      <c r="G54" s="7">
        <f>SUM(G7:G52)</f>
        <v>577.02330000000006</v>
      </c>
      <c r="H54" s="5" t="s">
        <v>54</v>
      </c>
      <c r="I54" s="6"/>
      <c r="J54" s="6"/>
      <c r="K54" s="7">
        <f>SUM(K7:K52)</f>
        <v>681.06600000000003</v>
      </c>
      <c r="L54" s="5" t="s">
        <v>54</v>
      </c>
      <c r="M54" s="6"/>
      <c r="N54" s="6"/>
      <c r="O54" s="7">
        <f>SUM(O7:O52)</f>
        <v>788.58180000000016</v>
      </c>
      <c r="P54" s="5" t="s">
        <v>54</v>
      </c>
      <c r="Q54" s="6"/>
      <c r="R54" s="6"/>
      <c r="S54" s="7">
        <f>SUM(S7:S52)</f>
        <v>534.66039999999998</v>
      </c>
      <c r="T54" s="5" t="s">
        <v>54</v>
      </c>
      <c r="U54" s="6"/>
      <c r="V54" s="6"/>
      <c r="W54" s="7">
        <f>SUM(W7:W52)</f>
        <v>519.42859999999996</v>
      </c>
      <c r="Y54" s="2" t="s">
        <v>78</v>
      </c>
    </row>
    <row r="55" spans="2:25" s="2" customFormat="1" x14ac:dyDescent="0.25">
      <c r="D55" s="8" t="s">
        <v>55</v>
      </c>
      <c r="E55" s="9"/>
      <c r="F55" s="9"/>
      <c r="G55" s="10">
        <v>574.76</v>
      </c>
      <c r="H55" s="8" t="s">
        <v>55</v>
      </c>
      <c r="I55" s="9"/>
      <c r="J55" s="9"/>
      <c r="K55" s="10">
        <v>574.76</v>
      </c>
      <c r="L55" s="8" t="s">
        <v>55</v>
      </c>
      <c r="M55" s="9"/>
      <c r="N55" s="9"/>
      <c r="O55" s="10">
        <v>574.76</v>
      </c>
      <c r="P55" s="45" t="s">
        <v>55</v>
      </c>
      <c r="Q55" s="46"/>
      <c r="R55" s="46"/>
      <c r="S55" s="47">
        <v>390.6</v>
      </c>
      <c r="T55" s="45" t="s">
        <v>55</v>
      </c>
      <c r="U55" s="46"/>
      <c r="V55" s="46"/>
      <c r="W55" s="47">
        <v>390.6</v>
      </c>
    </row>
    <row r="56" spans="2:25" s="2" customFormat="1" x14ac:dyDescent="0.25"/>
    <row r="57" spans="2:25" s="2" customFormat="1" x14ac:dyDescent="0.25">
      <c r="D57" s="37" t="s">
        <v>56</v>
      </c>
      <c r="E57" s="38"/>
      <c r="F57" s="39"/>
      <c r="G57" s="40">
        <f>+G54+G55</f>
        <v>1151.7833000000001</v>
      </c>
      <c r="H57" s="37" t="s">
        <v>56</v>
      </c>
      <c r="I57" s="38"/>
      <c r="J57" s="39"/>
      <c r="K57" s="40">
        <f>+K54+K55</f>
        <v>1255.826</v>
      </c>
      <c r="L57" s="37" t="s">
        <v>56</v>
      </c>
      <c r="M57" s="38"/>
      <c r="N57" s="39"/>
      <c r="O57" s="40">
        <f>+O54+O55</f>
        <v>1363.3418000000001</v>
      </c>
      <c r="P57" s="37" t="s">
        <v>56</v>
      </c>
      <c r="Q57" s="38"/>
      <c r="R57" s="39"/>
      <c r="S57" s="40">
        <f>+S54+S55</f>
        <v>925.2604</v>
      </c>
      <c r="T57" s="37" t="s">
        <v>56</v>
      </c>
      <c r="U57" s="38"/>
      <c r="V57" s="39"/>
      <c r="W57" s="40">
        <f>+W54+W55</f>
        <v>910.02859999999998</v>
      </c>
    </row>
    <row r="58" spans="2:25" s="2" customFormat="1" x14ac:dyDescent="0.25">
      <c r="G58" s="3"/>
      <c r="K58" s="3"/>
      <c r="O58" s="3"/>
      <c r="S58" s="3"/>
      <c r="W58" s="3"/>
    </row>
    <row r="59" spans="2:25" s="2" customFormat="1" x14ac:dyDescent="0.25">
      <c r="D59" s="31" t="s">
        <v>52</v>
      </c>
      <c r="E59" s="32">
        <v>1.9800000000000002E-2</v>
      </c>
      <c r="F59" s="3"/>
      <c r="H59" s="31" t="s">
        <v>52</v>
      </c>
      <c r="I59" s="32">
        <v>1.9800000000000002E-2</v>
      </c>
      <c r="J59" s="3"/>
      <c r="L59" s="31" t="s">
        <v>52</v>
      </c>
      <c r="M59" s="32">
        <v>1.9800000000000002E-2</v>
      </c>
      <c r="N59" s="3"/>
      <c r="P59" s="31" t="s">
        <v>52</v>
      </c>
      <c r="Q59" s="32">
        <v>1.9800000000000002E-2</v>
      </c>
      <c r="R59" s="3"/>
      <c r="T59" s="31" t="s">
        <v>52</v>
      </c>
      <c r="U59" s="32">
        <v>1.9800000000000002E-2</v>
      </c>
      <c r="W59" s="3"/>
    </row>
    <row r="60" spans="2:25" s="2" customFormat="1" x14ac:dyDescent="0.25">
      <c r="D60" s="33" t="s">
        <v>53</v>
      </c>
      <c r="E60" s="34">
        <v>5.45E-2</v>
      </c>
      <c r="F60" s="3"/>
      <c r="H60" s="33" t="s">
        <v>53</v>
      </c>
      <c r="I60" s="34">
        <v>5.45E-2</v>
      </c>
      <c r="J60" s="3"/>
      <c r="L60" s="33" t="s">
        <v>53</v>
      </c>
      <c r="M60" s="34">
        <v>5.45E-2</v>
      </c>
      <c r="N60" s="3"/>
      <c r="P60" s="33" t="s">
        <v>53</v>
      </c>
      <c r="Q60" s="34">
        <v>5.45E-2</v>
      </c>
      <c r="R60" s="3"/>
      <c r="T60" s="33" t="s">
        <v>53</v>
      </c>
      <c r="U60" s="34">
        <v>5.45E-2</v>
      </c>
      <c r="W60" s="3"/>
    </row>
    <row r="61" spans="2:25" s="2" customFormat="1" x14ac:dyDescent="0.25">
      <c r="E61" s="4"/>
      <c r="G61" s="3"/>
      <c r="I61" s="4"/>
      <c r="K61" s="3"/>
      <c r="M61" s="4"/>
      <c r="O61" s="3"/>
      <c r="Q61" s="4"/>
      <c r="S61" s="3"/>
      <c r="U61" s="4"/>
      <c r="W61" s="3"/>
    </row>
    <row r="62" spans="2:25" s="2" customFormat="1" x14ac:dyDescent="0.25">
      <c r="B62" s="44" t="s">
        <v>60</v>
      </c>
      <c r="E62" s="4"/>
      <c r="G62" s="3"/>
      <c r="I62" s="4"/>
      <c r="K62" s="3"/>
      <c r="M62" s="4"/>
      <c r="O62" s="3"/>
      <c r="Q62" s="4"/>
      <c r="S62" s="3"/>
      <c r="U62" s="4"/>
      <c r="W62" s="3"/>
    </row>
    <row r="63" spans="2:25" s="2" customFormat="1" x14ac:dyDescent="0.25">
      <c r="B63" s="5" t="s">
        <v>58</v>
      </c>
      <c r="C63" s="7">
        <v>574.76</v>
      </c>
      <c r="E63" s="4"/>
      <c r="G63" s="3"/>
      <c r="I63" s="4"/>
      <c r="K63" s="3"/>
      <c r="M63" s="4"/>
      <c r="O63" s="3"/>
      <c r="Q63" s="4"/>
      <c r="S63" s="72">
        <f>+S57/O57-1</f>
        <v>-0.32132910470433762</v>
      </c>
      <c r="U63" s="4"/>
      <c r="W63" s="72">
        <f>+W57/S57-1</f>
        <v>-1.6462176485668278E-2</v>
      </c>
    </row>
    <row r="64" spans="2:25" s="2" customFormat="1" x14ac:dyDescent="0.25">
      <c r="B64" s="8" t="s">
        <v>59</v>
      </c>
      <c r="C64" s="10">
        <v>390.6</v>
      </c>
      <c r="E64" s="4"/>
      <c r="G64" s="3"/>
      <c r="I64" s="4"/>
      <c r="K64" s="3"/>
      <c r="M64" s="4"/>
      <c r="O64" s="3"/>
      <c r="Q64" s="4"/>
      <c r="S64" s="3"/>
      <c r="U64" s="4"/>
      <c r="W64" s="3"/>
    </row>
    <row r="65" spans="3:23" s="2" customFormat="1" x14ac:dyDescent="0.25">
      <c r="C65" s="43">
        <f>+C63-C64</f>
        <v>184.15999999999997</v>
      </c>
      <c r="E65" s="4"/>
      <c r="G65" s="3"/>
      <c r="I65" s="4"/>
      <c r="K65" s="3"/>
      <c r="M65" s="4"/>
      <c r="O65" s="3"/>
      <c r="Q65" s="4"/>
      <c r="S65" s="3"/>
      <c r="U65" s="4"/>
      <c r="W65" s="3"/>
    </row>
    <row r="66" spans="3:23" s="2" customFormat="1" x14ac:dyDescent="0.25">
      <c r="E66" s="4"/>
      <c r="G66" s="3"/>
      <c r="I66" s="4"/>
      <c r="K66" s="3"/>
      <c r="M66" s="4"/>
      <c r="O66" s="3"/>
      <c r="Q66" s="4"/>
      <c r="S66" s="3"/>
      <c r="U66" s="4"/>
      <c r="W66" s="3"/>
    </row>
    <row r="67" spans="3:23" s="2" customFormat="1" x14ac:dyDescent="0.25">
      <c r="E67" s="4"/>
      <c r="G67" s="3"/>
      <c r="I67" s="4"/>
      <c r="K67" s="3"/>
      <c r="M67" s="4"/>
      <c r="O67" s="3"/>
      <c r="Q67" s="4"/>
      <c r="S67" s="3"/>
      <c r="U67" s="4"/>
      <c r="W67" s="3"/>
    </row>
    <row r="68" spans="3:23" s="2" customFormat="1" x14ac:dyDescent="0.25">
      <c r="E68" s="4"/>
      <c r="G68" s="3"/>
      <c r="I68" s="4"/>
      <c r="K68" s="3"/>
      <c r="M68" s="4"/>
      <c r="O68" s="3"/>
      <c r="Q68" s="4"/>
      <c r="S68" s="3"/>
      <c r="U68" s="4"/>
      <c r="W68" s="3"/>
    </row>
    <row r="69" spans="3:23" s="2" customFormat="1" x14ac:dyDescent="0.25">
      <c r="E69" s="4"/>
      <c r="G69" s="3"/>
      <c r="I69" s="4"/>
      <c r="K69" s="3"/>
      <c r="M69" s="4"/>
      <c r="O69" s="3"/>
      <c r="Q69" s="4"/>
      <c r="S69" s="3"/>
      <c r="U69" s="4"/>
      <c r="W69" s="3"/>
    </row>
    <row r="70" spans="3:23" s="2" customFormat="1" x14ac:dyDescent="0.25">
      <c r="E70" s="4"/>
      <c r="G70" s="3"/>
      <c r="I70" s="4"/>
      <c r="K70" s="3"/>
      <c r="M70" s="4"/>
      <c r="O70" s="3"/>
      <c r="Q70" s="4"/>
      <c r="S70" s="3"/>
      <c r="U70" s="4"/>
      <c r="W70" s="3"/>
    </row>
    <row r="71" spans="3:23" s="2" customFormat="1" x14ac:dyDescent="0.25">
      <c r="E71" s="4"/>
      <c r="G71" s="3"/>
      <c r="I71" s="4"/>
      <c r="K71" s="3"/>
      <c r="M71" s="4"/>
      <c r="O71" s="3"/>
      <c r="Q71" s="4"/>
      <c r="S71" s="3"/>
      <c r="U71" s="4"/>
      <c r="W71" s="3"/>
    </row>
    <row r="72" spans="3:23" s="2" customFormat="1" x14ac:dyDescent="0.25">
      <c r="E72" s="4"/>
      <c r="G72" s="3"/>
      <c r="I72" s="4"/>
      <c r="K72" s="3"/>
      <c r="M72" s="4"/>
      <c r="O72" s="3"/>
      <c r="Q72" s="4"/>
      <c r="S72" s="3"/>
      <c r="U72" s="4"/>
      <c r="W72" s="3"/>
    </row>
    <row r="73" spans="3:23" s="2" customFormat="1" x14ac:dyDescent="0.25">
      <c r="E73" s="4"/>
      <c r="G73" s="3"/>
      <c r="I73" s="4"/>
      <c r="K73" s="3"/>
      <c r="M73" s="4"/>
      <c r="O73" s="3"/>
      <c r="Q73" s="4"/>
      <c r="S73" s="3"/>
      <c r="U73" s="4"/>
      <c r="W73" s="3"/>
    </row>
    <row r="74" spans="3:23" s="2" customFormat="1" x14ac:dyDescent="0.25">
      <c r="E74" s="4"/>
      <c r="G74" s="3"/>
      <c r="I74" s="4"/>
      <c r="K74" s="3"/>
      <c r="M74" s="4"/>
      <c r="O74" s="3"/>
      <c r="Q74" s="4"/>
      <c r="S74" s="3"/>
      <c r="U74" s="4"/>
      <c r="W74" s="3"/>
    </row>
    <row r="75" spans="3:23" s="2" customFormat="1" x14ac:dyDescent="0.25">
      <c r="E75" s="4"/>
      <c r="G75" s="3"/>
      <c r="I75" s="4"/>
      <c r="K75" s="3"/>
      <c r="M75" s="4"/>
      <c r="O75" s="3"/>
      <c r="Q75" s="4"/>
      <c r="S75" s="3"/>
      <c r="U75" s="4"/>
      <c r="W75" s="3"/>
    </row>
    <row r="76" spans="3:23" s="2" customFormat="1" x14ac:dyDescent="0.25">
      <c r="E76" s="4"/>
      <c r="G76" s="3"/>
      <c r="I76" s="4"/>
      <c r="K76" s="3"/>
      <c r="M76" s="4"/>
      <c r="O76" s="3"/>
      <c r="Q76" s="4"/>
      <c r="S76" s="3"/>
      <c r="U76" s="4"/>
      <c r="W76" s="3"/>
    </row>
    <row r="77" spans="3:23" s="2" customFormat="1" x14ac:dyDescent="0.25">
      <c r="E77" s="4"/>
      <c r="G77" s="3"/>
      <c r="I77" s="4"/>
      <c r="K77" s="3"/>
      <c r="M77" s="4"/>
      <c r="O77" s="3"/>
      <c r="Q77" s="4"/>
      <c r="S77" s="3"/>
      <c r="U77" s="4"/>
      <c r="W77" s="3"/>
    </row>
    <row r="78" spans="3:23" s="2" customFormat="1" x14ac:dyDescent="0.25">
      <c r="E78" s="4"/>
      <c r="G78" s="3"/>
      <c r="I78" s="4"/>
      <c r="K78" s="3"/>
      <c r="M78" s="4"/>
      <c r="O78" s="3"/>
      <c r="Q78" s="4"/>
      <c r="S78" s="3"/>
      <c r="U78" s="4"/>
      <c r="W78" s="3"/>
    </row>
    <row r="79" spans="3:23" s="2" customFormat="1" x14ac:dyDescent="0.25">
      <c r="E79" s="4"/>
      <c r="G79" s="3"/>
      <c r="I79" s="4"/>
      <c r="K79" s="3"/>
      <c r="M79" s="4"/>
      <c r="O79" s="3"/>
      <c r="Q79" s="4"/>
      <c r="S79" s="3"/>
      <c r="U79" s="4"/>
      <c r="W79" s="3"/>
    </row>
    <row r="80" spans="3:23" s="2" customFormat="1" x14ac:dyDescent="0.25">
      <c r="E80" s="4"/>
      <c r="G80" s="3"/>
      <c r="I80" s="4"/>
      <c r="K80" s="3"/>
      <c r="M80" s="4"/>
      <c r="O80" s="3"/>
      <c r="Q80" s="4"/>
      <c r="S80" s="3"/>
      <c r="U80" s="4"/>
      <c r="W80" s="3"/>
    </row>
    <row r="81" spans="5:23" s="2" customFormat="1" x14ac:dyDescent="0.25">
      <c r="E81" s="4"/>
      <c r="G81" s="3"/>
      <c r="I81" s="4"/>
      <c r="K81" s="3"/>
      <c r="M81" s="4"/>
      <c r="O81" s="3"/>
      <c r="Q81" s="4"/>
      <c r="S81" s="3"/>
      <c r="U81" s="4"/>
      <c r="W81" s="3"/>
    </row>
    <row r="82" spans="5:23" s="2" customFormat="1" x14ac:dyDescent="0.25">
      <c r="E82" s="4"/>
      <c r="G82" s="3"/>
      <c r="I82" s="4"/>
      <c r="K82" s="3"/>
      <c r="M82" s="4"/>
      <c r="O82" s="3"/>
      <c r="Q82" s="4"/>
      <c r="S82" s="3"/>
      <c r="U82" s="4"/>
      <c r="W82" s="3"/>
    </row>
    <row r="83" spans="5:23" s="2" customFormat="1" x14ac:dyDescent="0.25">
      <c r="E83" s="4"/>
      <c r="G83" s="3"/>
      <c r="I83" s="4"/>
      <c r="K83" s="3"/>
      <c r="M83" s="4"/>
      <c r="O83" s="3"/>
      <c r="Q83" s="4"/>
      <c r="S83" s="3"/>
      <c r="U83" s="4"/>
      <c r="W83" s="3"/>
    </row>
    <row r="84" spans="5:23" s="2" customFormat="1" x14ac:dyDescent="0.25">
      <c r="E84" s="4"/>
      <c r="G84" s="3"/>
      <c r="I84" s="4"/>
      <c r="K84" s="3"/>
      <c r="M84" s="4"/>
      <c r="O84" s="3"/>
      <c r="Q84" s="4"/>
      <c r="S84" s="3"/>
      <c r="U84" s="4"/>
      <c r="W84" s="3"/>
    </row>
    <row r="85" spans="5:23" s="2" customFormat="1" x14ac:dyDescent="0.25">
      <c r="E85" s="4"/>
      <c r="G85" s="3"/>
      <c r="I85" s="4"/>
      <c r="K85" s="3"/>
      <c r="M85" s="4"/>
      <c r="O85" s="3"/>
      <c r="Q85" s="4"/>
      <c r="S85" s="3"/>
      <c r="U85" s="4"/>
      <c r="W85" s="3"/>
    </row>
    <row r="86" spans="5:23" s="2" customFormat="1" x14ac:dyDescent="0.25">
      <c r="E86" s="4"/>
      <c r="G86" s="3"/>
      <c r="I86" s="4"/>
      <c r="K86" s="3"/>
      <c r="M86" s="4"/>
      <c r="O86" s="3"/>
      <c r="Q86" s="4"/>
      <c r="S86" s="3"/>
      <c r="U86" s="4"/>
      <c r="W86" s="3"/>
    </row>
    <row r="87" spans="5:23" s="2" customFormat="1" x14ac:dyDescent="0.25">
      <c r="E87" s="4"/>
      <c r="G87" s="3"/>
      <c r="I87" s="4"/>
      <c r="K87" s="3"/>
      <c r="M87" s="4"/>
      <c r="O87" s="3"/>
      <c r="Q87" s="4"/>
      <c r="S87" s="3"/>
      <c r="U87" s="4"/>
      <c r="W87" s="3"/>
    </row>
    <row r="88" spans="5:23" s="2" customFormat="1" x14ac:dyDescent="0.25">
      <c r="E88" s="4"/>
      <c r="G88" s="3"/>
      <c r="I88" s="4"/>
      <c r="K88" s="3"/>
      <c r="M88" s="4"/>
      <c r="O88" s="3"/>
      <c r="Q88" s="4"/>
      <c r="S88" s="3"/>
      <c r="U88" s="4"/>
      <c r="W88" s="3"/>
    </row>
    <row r="89" spans="5:23" s="2" customFormat="1" x14ac:dyDescent="0.25">
      <c r="E89" s="4"/>
      <c r="G89" s="3"/>
      <c r="I89" s="4"/>
      <c r="K89" s="3"/>
      <c r="M89" s="4"/>
      <c r="O89" s="3"/>
      <c r="Q89" s="4"/>
      <c r="S89" s="3"/>
      <c r="U89" s="4"/>
      <c r="W89" s="3"/>
    </row>
    <row r="90" spans="5:23" s="2" customFormat="1" x14ac:dyDescent="0.25">
      <c r="E90" s="4"/>
      <c r="G90" s="3"/>
      <c r="I90" s="4"/>
      <c r="K90" s="3"/>
      <c r="M90" s="4"/>
      <c r="O90" s="3"/>
      <c r="Q90" s="4"/>
      <c r="S90" s="3"/>
      <c r="U90" s="4"/>
      <c r="W90" s="3"/>
    </row>
    <row r="91" spans="5:23" s="2" customFormat="1" x14ac:dyDescent="0.25">
      <c r="E91" s="4"/>
      <c r="G91" s="3"/>
      <c r="I91" s="4"/>
      <c r="K91" s="3"/>
      <c r="M91" s="4"/>
      <c r="O91" s="3"/>
      <c r="Q91" s="4"/>
      <c r="S91" s="3"/>
      <c r="U91" s="4"/>
      <c r="W91" s="3"/>
    </row>
    <row r="92" spans="5:23" s="2" customFormat="1" x14ac:dyDescent="0.25">
      <c r="E92" s="4"/>
      <c r="G92" s="3"/>
      <c r="I92" s="4"/>
      <c r="K92" s="3"/>
      <c r="M92" s="4"/>
      <c r="O92" s="3"/>
      <c r="Q92" s="4"/>
      <c r="S92" s="3"/>
      <c r="U92" s="4"/>
      <c r="W92" s="3"/>
    </row>
    <row r="93" spans="5:23" s="2" customFormat="1" x14ac:dyDescent="0.25">
      <c r="E93" s="4"/>
      <c r="G93" s="3"/>
      <c r="I93" s="4"/>
      <c r="K93" s="3"/>
      <c r="M93" s="4"/>
      <c r="O93" s="3"/>
      <c r="Q93" s="4"/>
      <c r="S93" s="3"/>
      <c r="U93" s="4"/>
      <c r="W93" s="3"/>
    </row>
    <row r="94" spans="5:23" s="2" customFormat="1" x14ac:dyDescent="0.25">
      <c r="E94" s="4"/>
      <c r="G94" s="3"/>
      <c r="I94" s="4"/>
      <c r="K94" s="3"/>
      <c r="M94" s="4"/>
      <c r="O94" s="3"/>
      <c r="Q94" s="4"/>
      <c r="S94" s="3"/>
      <c r="U94" s="4"/>
      <c r="W94" s="3"/>
    </row>
    <row r="95" spans="5:23" s="2" customFormat="1" x14ac:dyDescent="0.25">
      <c r="E95" s="4"/>
      <c r="G95" s="3"/>
      <c r="I95" s="4"/>
      <c r="K95" s="3"/>
      <c r="M95" s="4"/>
      <c r="O95" s="3"/>
      <c r="Q95" s="4"/>
      <c r="S95" s="3"/>
      <c r="U95" s="4"/>
      <c r="W95" s="3"/>
    </row>
    <row r="96" spans="5:23" s="2" customFormat="1" x14ac:dyDescent="0.25">
      <c r="E96" s="4"/>
      <c r="G96" s="3"/>
      <c r="I96" s="4"/>
      <c r="K96" s="3"/>
      <c r="M96" s="4"/>
      <c r="O96" s="3"/>
      <c r="Q96" s="4"/>
      <c r="S96" s="3"/>
      <c r="U96" s="4"/>
      <c r="W96" s="3"/>
    </row>
    <row r="97" spans="5:23" s="2" customFormat="1" x14ac:dyDescent="0.25">
      <c r="E97" s="4"/>
      <c r="G97" s="3"/>
      <c r="I97" s="4"/>
      <c r="K97" s="3"/>
      <c r="M97" s="4"/>
      <c r="O97" s="3"/>
      <c r="Q97" s="4"/>
      <c r="S97" s="3"/>
      <c r="U97" s="4"/>
      <c r="W97" s="3"/>
    </row>
    <row r="98" spans="5:23" s="2" customFormat="1" x14ac:dyDescent="0.25">
      <c r="E98" s="4"/>
      <c r="G98" s="3"/>
      <c r="I98" s="4"/>
      <c r="K98" s="3"/>
      <c r="M98" s="4"/>
      <c r="O98" s="3"/>
      <c r="Q98" s="4"/>
      <c r="S98" s="3"/>
      <c r="U98" s="4"/>
      <c r="W98" s="3"/>
    </row>
    <row r="99" spans="5:23" s="2" customFormat="1" x14ac:dyDescent="0.25">
      <c r="E99" s="4"/>
      <c r="G99" s="3"/>
      <c r="I99" s="4"/>
      <c r="K99" s="3"/>
      <c r="M99" s="4"/>
      <c r="O99" s="3"/>
      <c r="Q99" s="4"/>
      <c r="S99" s="3"/>
      <c r="U99" s="4"/>
      <c r="W99" s="3"/>
    </row>
    <row r="100" spans="5:23" s="2" customFormat="1" x14ac:dyDescent="0.25">
      <c r="E100" s="4"/>
      <c r="G100" s="3"/>
      <c r="I100" s="4"/>
      <c r="K100" s="3"/>
      <c r="M100" s="4"/>
      <c r="O100" s="3"/>
      <c r="Q100" s="4"/>
      <c r="S100" s="3"/>
      <c r="U100" s="4"/>
      <c r="W100" s="3"/>
    </row>
    <row r="101" spans="5:23" s="2" customFormat="1" x14ac:dyDescent="0.25">
      <c r="E101" s="4"/>
      <c r="G101" s="3"/>
      <c r="I101" s="4"/>
      <c r="K101" s="3"/>
      <c r="M101" s="4"/>
      <c r="O101" s="3"/>
      <c r="Q101" s="4"/>
      <c r="S101" s="3"/>
      <c r="U101" s="4"/>
      <c r="W101" s="3"/>
    </row>
    <row r="102" spans="5:23" s="2" customFormat="1" x14ac:dyDescent="0.25">
      <c r="E102" s="4"/>
      <c r="G102" s="3"/>
      <c r="I102" s="4"/>
      <c r="K102" s="3"/>
      <c r="M102" s="4"/>
      <c r="O102" s="3"/>
      <c r="Q102" s="4"/>
      <c r="S102" s="3"/>
      <c r="U102" s="4"/>
      <c r="W102" s="3"/>
    </row>
    <row r="103" spans="5:23" s="2" customFormat="1" x14ac:dyDescent="0.25">
      <c r="E103" s="4"/>
      <c r="G103" s="3"/>
      <c r="I103" s="4"/>
      <c r="K103" s="3"/>
      <c r="M103" s="4"/>
      <c r="O103" s="3"/>
      <c r="Q103" s="4"/>
      <c r="S103" s="3"/>
      <c r="U103" s="4"/>
      <c r="W103" s="3"/>
    </row>
    <row r="104" spans="5:23" s="2" customFormat="1" x14ac:dyDescent="0.25">
      <c r="E104" s="4"/>
      <c r="G104" s="3"/>
      <c r="I104" s="4"/>
      <c r="K104" s="3"/>
      <c r="M104" s="4"/>
      <c r="O104" s="3"/>
      <c r="Q104" s="4"/>
      <c r="S104" s="3"/>
      <c r="U104" s="4"/>
      <c r="W104" s="3"/>
    </row>
    <row r="105" spans="5:23" s="2" customFormat="1" x14ac:dyDescent="0.25">
      <c r="E105" s="4"/>
      <c r="G105" s="3"/>
      <c r="I105" s="4"/>
      <c r="K105" s="3"/>
      <c r="M105" s="4"/>
      <c r="O105" s="3"/>
      <c r="Q105" s="4"/>
      <c r="S105" s="3"/>
      <c r="U105" s="4"/>
      <c r="W105" s="3"/>
    </row>
    <row r="106" spans="5:23" s="2" customFormat="1" x14ac:dyDescent="0.25">
      <c r="E106" s="4"/>
      <c r="G106" s="3"/>
      <c r="I106" s="4"/>
      <c r="K106" s="3"/>
      <c r="M106" s="4"/>
      <c r="O106" s="3"/>
      <c r="Q106" s="4"/>
      <c r="S106" s="3"/>
      <c r="U106" s="4"/>
      <c r="W106" s="3"/>
    </row>
    <row r="107" spans="5:23" s="2" customFormat="1" x14ac:dyDescent="0.25">
      <c r="E107" s="4"/>
      <c r="G107" s="3"/>
      <c r="I107" s="4"/>
      <c r="K107" s="3"/>
      <c r="M107" s="4"/>
      <c r="O107" s="3"/>
      <c r="Q107" s="4"/>
      <c r="S107" s="3"/>
      <c r="U107" s="4"/>
      <c r="W107" s="3"/>
    </row>
    <row r="108" spans="5:23" s="2" customFormat="1" x14ac:dyDescent="0.25">
      <c r="E108" s="4"/>
      <c r="G108" s="3"/>
      <c r="I108" s="4"/>
      <c r="K108" s="3"/>
      <c r="M108" s="4"/>
      <c r="O108" s="3"/>
      <c r="Q108" s="4"/>
      <c r="S108" s="3"/>
      <c r="U108" s="4"/>
      <c r="W108" s="3"/>
    </row>
    <row r="109" spans="5:23" s="2" customFormat="1" x14ac:dyDescent="0.25">
      <c r="E109" s="4"/>
      <c r="G109" s="3"/>
      <c r="I109" s="4"/>
      <c r="K109" s="3"/>
      <c r="M109" s="4"/>
      <c r="O109" s="3"/>
      <c r="Q109" s="4"/>
      <c r="S109" s="3"/>
      <c r="U109" s="4"/>
      <c r="W109" s="3"/>
    </row>
    <row r="110" spans="5:23" s="2" customFormat="1" x14ac:dyDescent="0.25">
      <c r="E110" s="4"/>
      <c r="G110" s="3"/>
      <c r="I110" s="4"/>
      <c r="K110" s="3"/>
      <c r="M110" s="4"/>
      <c r="O110" s="3"/>
      <c r="Q110" s="4"/>
      <c r="S110" s="3"/>
      <c r="U110" s="4"/>
      <c r="W110" s="3"/>
    </row>
    <row r="111" spans="5:23" s="2" customFormat="1" x14ac:dyDescent="0.25">
      <c r="E111" s="4"/>
      <c r="G111" s="3"/>
      <c r="I111" s="4"/>
      <c r="K111" s="3"/>
      <c r="M111" s="4"/>
      <c r="O111" s="3"/>
      <c r="Q111" s="4"/>
      <c r="S111" s="3"/>
      <c r="U111" s="4"/>
      <c r="W111" s="3"/>
    </row>
    <row r="112" spans="5:23" s="2" customFormat="1" x14ac:dyDescent="0.25">
      <c r="E112" s="4"/>
      <c r="G112" s="3"/>
      <c r="I112" s="4"/>
      <c r="K112" s="3"/>
      <c r="M112" s="4"/>
      <c r="O112" s="3"/>
      <c r="Q112" s="4"/>
      <c r="S112" s="3"/>
      <c r="U112" s="4"/>
      <c r="W112" s="3"/>
    </row>
    <row r="113" spans="5:23" s="2" customFormat="1" x14ac:dyDescent="0.25">
      <c r="E113" s="4"/>
      <c r="G113" s="3"/>
      <c r="I113" s="4"/>
      <c r="K113" s="3"/>
      <c r="M113" s="4"/>
      <c r="O113" s="3"/>
      <c r="Q113" s="4"/>
      <c r="S113" s="3"/>
      <c r="U113" s="4"/>
      <c r="W113" s="3"/>
    </row>
    <row r="114" spans="5:23" s="2" customFormat="1" x14ac:dyDescent="0.25">
      <c r="E114" s="4"/>
      <c r="G114" s="3"/>
      <c r="I114" s="4"/>
      <c r="K114" s="3"/>
      <c r="M114" s="4"/>
      <c r="O114" s="3"/>
      <c r="Q114" s="4"/>
      <c r="S114" s="3"/>
      <c r="U114" s="4"/>
      <c r="W114" s="3"/>
    </row>
    <row r="115" spans="5:23" s="2" customFormat="1" x14ac:dyDescent="0.25">
      <c r="E115" s="4"/>
      <c r="G115" s="3"/>
      <c r="I115" s="4"/>
      <c r="K115" s="3"/>
      <c r="M115" s="4"/>
      <c r="O115" s="3"/>
      <c r="Q115" s="4"/>
      <c r="S115" s="3"/>
      <c r="U115" s="4"/>
      <c r="W115" s="3"/>
    </row>
    <row r="116" spans="5:23" s="2" customFormat="1" x14ac:dyDescent="0.25">
      <c r="E116" s="4"/>
      <c r="G116" s="3"/>
      <c r="I116" s="4"/>
      <c r="K116" s="3"/>
      <c r="M116" s="4"/>
      <c r="O116" s="3"/>
      <c r="Q116" s="4"/>
      <c r="S116" s="3"/>
      <c r="U116" s="4"/>
      <c r="W116" s="3"/>
    </row>
    <row r="117" spans="5:23" s="2" customFormat="1" x14ac:dyDescent="0.25">
      <c r="E117" s="4"/>
      <c r="G117" s="3"/>
      <c r="I117" s="4"/>
      <c r="K117" s="3"/>
      <c r="M117" s="4"/>
      <c r="O117" s="3"/>
      <c r="Q117" s="4"/>
      <c r="S117" s="3"/>
      <c r="U117" s="4"/>
      <c r="W117" s="3"/>
    </row>
    <row r="118" spans="5:23" s="2" customFormat="1" x14ac:dyDescent="0.25">
      <c r="E118" s="4"/>
      <c r="G118" s="3"/>
      <c r="I118" s="4"/>
      <c r="K118" s="3"/>
      <c r="M118" s="4"/>
      <c r="O118" s="3"/>
      <c r="Q118" s="4"/>
      <c r="S118" s="3"/>
      <c r="U118" s="4"/>
      <c r="W118" s="3"/>
    </row>
    <row r="119" spans="5:23" s="2" customFormat="1" x14ac:dyDescent="0.25">
      <c r="E119" s="4"/>
      <c r="G119" s="3"/>
      <c r="I119" s="4"/>
      <c r="K119" s="3"/>
      <c r="M119" s="4"/>
      <c r="O119" s="3"/>
      <c r="Q119" s="4"/>
      <c r="S119" s="3"/>
      <c r="U119" s="4"/>
      <c r="W119" s="3"/>
    </row>
    <row r="120" spans="5:23" s="2" customFormat="1" x14ac:dyDescent="0.25">
      <c r="E120" s="4"/>
      <c r="G120" s="3"/>
      <c r="I120" s="4"/>
      <c r="K120" s="3"/>
      <c r="M120" s="4"/>
      <c r="O120" s="3"/>
      <c r="Q120" s="4"/>
      <c r="S120" s="3"/>
      <c r="U120" s="4"/>
      <c r="W120" s="3"/>
    </row>
    <row r="121" spans="5:23" s="2" customFormat="1" x14ac:dyDescent="0.25">
      <c r="E121" s="4"/>
      <c r="G121" s="3"/>
      <c r="I121" s="4"/>
      <c r="K121" s="3"/>
      <c r="M121" s="4"/>
      <c r="O121" s="3"/>
      <c r="Q121" s="4"/>
      <c r="S121" s="3"/>
      <c r="U121" s="4"/>
      <c r="W121" s="3"/>
    </row>
    <row r="122" spans="5:23" s="2" customFormat="1" x14ac:dyDescent="0.25">
      <c r="E122" s="4"/>
      <c r="G122" s="3"/>
      <c r="I122" s="4"/>
      <c r="K122" s="3"/>
      <c r="M122" s="4"/>
      <c r="O122" s="3"/>
      <c r="Q122" s="4"/>
      <c r="S122" s="3"/>
      <c r="U122" s="4"/>
      <c r="W122" s="3"/>
    </row>
    <row r="123" spans="5:23" s="2" customFormat="1" x14ac:dyDescent="0.25">
      <c r="E123" s="4"/>
      <c r="G123" s="3"/>
      <c r="I123" s="4"/>
      <c r="K123" s="3"/>
      <c r="M123" s="4"/>
      <c r="O123" s="3"/>
      <c r="Q123" s="4"/>
      <c r="S123" s="3"/>
      <c r="U123" s="4"/>
      <c r="W123" s="3"/>
    </row>
    <row r="124" spans="5:23" s="2" customFormat="1" x14ac:dyDescent="0.25">
      <c r="E124" s="4"/>
      <c r="G124" s="3"/>
      <c r="I124" s="4"/>
      <c r="K124" s="3"/>
      <c r="M124" s="4"/>
      <c r="O124" s="3"/>
      <c r="Q124" s="4"/>
      <c r="S124" s="3"/>
      <c r="U124" s="4"/>
      <c r="W124" s="3"/>
    </row>
    <row r="125" spans="5:23" s="2" customFormat="1" x14ac:dyDescent="0.25">
      <c r="E125" s="4"/>
      <c r="G125" s="3"/>
      <c r="I125" s="4"/>
      <c r="K125" s="3"/>
      <c r="M125" s="4"/>
      <c r="O125" s="3"/>
      <c r="Q125" s="4"/>
      <c r="S125" s="3"/>
      <c r="U125" s="4"/>
      <c r="W125" s="3"/>
    </row>
    <row r="126" spans="5:23" s="2" customFormat="1" x14ac:dyDescent="0.25">
      <c r="E126" s="4"/>
      <c r="G126" s="3"/>
      <c r="I126" s="4"/>
      <c r="K126" s="3"/>
      <c r="M126" s="4"/>
      <c r="O126" s="3"/>
      <c r="Q126" s="4"/>
      <c r="S126" s="3"/>
      <c r="U126" s="4"/>
      <c r="W126" s="3"/>
    </row>
    <row r="127" spans="5:23" s="2" customFormat="1" x14ac:dyDescent="0.25">
      <c r="E127" s="4"/>
      <c r="G127" s="3"/>
      <c r="I127" s="4"/>
      <c r="K127" s="3"/>
      <c r="M127" s="4"/>
      <c r="O127" s="3"/>
      <c r="Q127" s="4"/>
      <c r="S127" s="3"/>
      <c r="U127" s="4"/>
      <c r="W127" s="3"/>
    </row>
    <row r="128" spans="5:23" s="2" customFormat="1" x14ac:dyDescent="0.25">
      <c r="E128" s="4"/>
      <c r="G128" s="3"/>
      <c r="I128" s="4"/>
      <c r="K128" s="3"/>
      <c r="M128" s="4"/>
      <c r="O128" s="3"/>
      <c r="Q128" s="4"/>
      <c r="S128" s="3"/>
      <c r="U128" s="4"/>
      <c r="W128" s="3"/>
    </row>
    <row r="129" spans="5:23" s="2" customFormat="1" x14ac:dyDescent="0.25">
      <c r="E129" s="4"/>
      <c r="G129" s="3"/>
      <c r="I129" s="4"/>
      <c r="K129" s="3"/>
      <c r="M129" s="4"/>
      <c r="O129" s="3"/>
      <c r="Q129" s="4"/>
      <c r="S129" s="3"/>
      <c r="U129" s="4"/>
      <c r="W129" s="3"/>
    </row>
    <row r="130" spans="5:23" s="2" customFormat="1" x14ac:dyDescent="0.25">
      <c r="E130" s="4"/>
      <c r="G130" s="3"/>
      <c r="I130" s="4"/>
      <c r="K130" s="3"/>
      <c r="M130" s="4"/>
      <c r="O130" s="3"/>
      <c r="Q130" s="4"/>
      <c r="S130" s="3"/>
      <c r="U130" s="4"/>
      <c r="W130" s="3"/>
    </row>
    <row r="131" spans="5:23" s="2" customFormat="1" x14ac:dyDescent="0.25">
      <c r="E131" s="4"/>
      <c r="G131" s="3"/>
      <c r="I131" s="4"/>
      <c r="K131" s="3"/>
      <c r="M131" s="4"/>
      <c r="O131" s="3"/>
      <c r="Q131" s="4"/>
      <c r="S131" s="3"/>
      <c r="U131" s="4"/>
      <c r="W131" s="3"/>
    </row>
    <row r="132" spans="5:23" s="2" customFormat="1" x14ac:dyDescent="0.25">
      <c r="E132" s="4"/>
      <c r="G132" s="3"/>
      <c r="I132" s="4"/>
      <c r="K132" s="3"/>
      <c r="M132" s="4"/>
      <c r="O132" s="3"/>
      <c r="Q132" s="4"/>
      <c r="S132" s="3"/>
      <c r="U132" s="4"/>
      <c r="W132" s="3"/>
    </row>
    <row r="133" spans="5:23" s="2" customFormat="1" x14ac:dyDescent="0.25">
      <c r="E133" s="4"/>
      <c r="G133" s="3"/>
      <c r="I133" s="4"/>
      <c r="K133" s="3"/>
      <c r="M133" s="4"/>
      <c r="O133" s="3"/>
      <c r="Q133" s="4"/>
      <c r="S133" s="3"/>
      <c r="U133" s="4"/>
      <c r="W133" s="3"/>
    </row>
    <row r="134" spans="5:23" s="2" customFormat="1" x14ac:dyDescent="0.25">
      <c r="E134" s="4"/>
      <c r="G134" s="3"/>
      <c r="I134" s="4"/>
      <c r="K134" s="3"/>
      <c r="M134" s="4"/>
      <c r="O134" s="3"/>
      <c r="Q134" s="4"/>
      <c r="S134" s="3"/>
      <c r="U134" s="4"/>
      <c r="W134" s="3"/>
    </row>
    <row r="135" spans="5:23" s="2" customFormat="1" x14ac:dyDescent="0.25">
      <c r="E135" s="4"/>
      <c r="G135" s="3"/>
      <c r="I135" s="4"/>
      <c r="K135" s="3"/>
      <c r="M135" s="4"/>
      <c r="O135" s="3"/>
      <c r="Q135" s="4"/>
      <c r="S135" s="3"/>
      <c r="U135" s="4"/>
      <c r="W135" s="3"/>
    </row>
    <row r="136" spans="5:23" s="2" customFormat="1" x14ac:dyDescent="0.25">
      <c r="E136" s="4"/>
      <c r="G136" s="3"/>
      <c r="I136" s="4"/>
      <c r="K136" s="3"/>
      <c r="M136" s="4"/>
      <c r="O136" s="3"/>
      <c r="Q136" s="4"/>
      <c r="S136" s="3"/>
      <c r="U136" s="4"/>
      <c r="W136" s="3"/>
    </row>
    <row r="137" spans="5:23" s="2" customFormat="1" x14ac:dyDescent="0.25">
      <c r="E137" s="4"/>
      <c r="G137" s="3"/>
      <c r="I137" s="4"/>
      <c r="K137" s="3"/>
      <c r="M137" s="4"/>
      <c r="O137" s="3"/>
      <c r="Q137" s="4"/>
      <c r="S137" s="3"/>
      <c r="U137" s="4"/>
      <c r="W137" s="3"/>
    </row>
    <row r="138" spans="5:23" s="2" customFormat="1" x14ac:dyDescent="0.25">
      <c r="E138" s="4"/>
      <c r="G138" s="3"/>
      <c r="I138" s="4"/>
      <c r="K138" s="3"/>
      <c r="M138" s="4"/>
      <c r="O138" s="3"/>
      <c r="Q138" s="4"/>
      <c r="S138" s="3"/>
      <c r="U138" s="4"/>
      <c r="W138" s="3"/>
    </row>
    <row r="139" spans="5:23" s="2" customFormat="1" x14ac:dyDescent="0.25">
      <c r="E139" s="4"/>
      <c r="G139" s="3"/>
      <c r="I139" s="4"/>
      <c r="K139" s="3"/>
      <c r="M139" s="4"/>
      <c r="O139" s="3"/>
      <c r="Q139" s="4"/>
      <c r="S139" s="3"/>
      <c r="U139" s="4"/>
      <c r="W139" s="3"/>
    </row>
    <row r="140" spans="5:23" s="2" customFormat="1" x14ac:dyDescent="0.25">
      <c r="E140" s="4"/>
      <c r="G140" s="3"/>
      <c r="I140" s="4"/>
      <c r="K140" s="3"/>
      <c r="M140" s="4"/>
      <c r="O140" s="3"/>
      <c r="Q140" s="4"/>
      <c r="S140" s="3"/>
      <c r="U140" s="4"/>
      <c r="W140" s="3"/>
    </row>
    <row r="141" spans="5:23" s="2" customFormat="1" x14ac:dyDescent="0.25">
      <c r="E141" s="4"/>
      <c r="G141" s="3"/>
      <c r="I141" s="4"/>
      <c r="K141" s="3"/>
      <c r="M141" s="4"/>
      <c r="O141" s="3"/>
      <c r="Q141" s="4"/>
      <c r="S141" s="3"/>
      <c r="U141" s="4"/>
      <c r="W141" s="3"/>
    </row>
    <row r="142" spans="5:23" s="2" customFormat="1" x14ac:dyDescent="0.25">
      <c r="E142" s="4"/>
      <c r="G142" s="3"/>
      <c r="I142" s="4"/>
      <c r="K142" s="3"/>
      <c r="M142" s="4"/>
      <c r="O142" s="3"/>
      <c r="Q142" s="4"/>
      <c r="S142" s="3"/>
      <c r="U142" s="4"/>
      <c r="W142" s="3"/>
    </row>
    <row r="143" spans="5:23" s="2" customFormat="1" x14ac:dyDescent="0.25">
      <c r="E143" s="4"/>
      <c r="G143" s="3"/>
      <c r="I143" s="4"/>
      <c r="K143" s="3"/>
      <c r="M143" s="4"/>
      <c r="O143" s="3"/>
      <c r="Q143" s="4"/>
      <c r="S143" s="3"/>
      <c r="U143" s="4"/>
      <c r="W143" s="3"/>
    </row>
    <row r="144" spans="5:23" s="2" customFormat="1" x14ac:dyDescent="0.25">
      <c r="E144" s="4"/>
      <c r="G144" s="3"/>
      <c r="I144" s="4"/>
      <c r="K144" s="3"/>
      <c r="M144" s="4"/>
      <c r="O144" s="3"/>
      <c r="Q144" s="4"/>
      <c r="S144" s="3"/>
      <c r="U144" s="4"/>
      <c r="W144" s="3"/>
    </row>
    <row r="145" spans="5:23" s="2" customFormat="1" x14ac:dyDescent="0.25">
      <c r="E145" s="4"/>
      <c r="G145" s="3"/>
      <c r="I145" s="4"/>
      <c r="K145" s="3"/>
      <c r="M145" s="4"/>
      <c r="O145" s="3"/>
      <c r="Q145" s="4"/>
      <c r="S145" s="3"/>
      <c r="U145" s="4"/>
      <c r="W145" s="3"/>
    </row>
    <row r="146" spans="5:23" s="2" customFormat="1" x14ac:dyDescent="0.25">
      <c r="E146" s="4"/>
      <c r="G146" s="3"/>
      <c r="I146" s="4"/>
      <c r="K146" s="3"/>
      <c r="M146" s="4"/>
      <c r="O146" s="3"/>
      <c r="Q146" s="4"/>
      <c r="S146" s="3"/>
      <c r="U146" s="4"/>
      <c r="W146" s="3"/>
    </row>
    <row r="147" spans="5:23" s="2" customFormat="1" x14ac:dyDescent="0.25">
      <c r="E147" s="4"/>
      <c r="G147" s="3"/>
      <c r="I147" s="4"/>
      <c r="K147" s="3"/>
      <c r="M147" s="4"/>
      <c r="O147" s="3"/>
      <c r="Q147" s="4"/>
      <c r="S147" s="3"/>
      <c r="U147" s="4"/>
      <c r="W147" s="3"/>
    </row>
    <row r="148" spans="5:23" s="2" customFormat="1" x14ac:dyDescent="0.25">
      <c r="E148" s="4"/>
      <c r="G148" s="3"/>
      <c r="I148" s="4"/>
      <c r="K148" s="3"/>
      <c r="M148" s="4"/>
      <c r="O148" s="3"/>
      <c r="Q148" s="4"/>
      <c r="S148" s="3"/>
      <c r="U148" s="4"/>
      <c r="W148" s="3"/>
    </row>
    <row r="149" spans="5:23" s="2" customFormat="1" x14ac:dyDescent="0.25">
      <c r="E149" s="4"/>
      <c r="G149" s="3"/>
      <c r="I149" s="4"/>
      <c r="K149" s="3"/>
      <c r="M149" s="4"/>
      <c r="O149" s="3"/>
      <c r="Q149" s="4"/>
      <c r="S149" s="3"/>
      <c r="U149" s="4"/>
      <c r="W149" s="3"/>
    </row>
    <row r="150" spans="5:23" s="2" customFormat="1" x14ac:dyDescent="0.25">
      <c r="E150" s="4"/>
      <c r="G150" s="3"/>
      <c r="I150" s="4"/>
      <c r="K150" s="3"/>
      <c r="M150" s="4"/>
      <c r="O150" s="3"/>
      <c r="Q150" s="4"/>
      <c r="S150" s="3"/>
      <c r="U150" s="4"/>
      <c r="W150" s="3"/>
    </row>
    <row r="151" spans="5:23" s="2" customFormat="1" x14ac:dyDescent="0.25">
      <c r="E151" s="4"/>
      <c r="G151" s="3"/>
      <c r="I151" s="4"/>
      <c r="K151" s="3"/>
      <c r="M151" s="4"/>
      <c r="O151" s="3"/>
      <c r="Q151" s="4"/>
      <c r="S151" s="3"/>
      <c r="U151" s="4"/>
      <c r="W151" s="3"/>
    </row>
    <row r="152" spans="5:23" s="2" customFormat="1" x14ac:dyDescent="0.25">
      <c r="E152" s="4"/>
      <c r="G152" s="3"/>
      <c r="I152" s="4"/>
      <c r="K152" s="3"/>
      <c r="M152" s="4"/>
      <c r="O152" s="3"/>
      <c r="Q152" s="4"/>
      <c r="S152" s="3"/>
      <c r="U152" s="4"/>
      <c r="W152" s="3"/>
    </row>
    <row r="153" spans="5:23" s="2" customFormat="1" x14ac:dyDescent="0.25">
      <c r="E153" s="4"/>
      <c r="G153" s="3"/>
      <c r="I153" s="4"/>
      <c r="K153" s="3"/>
      <c r="M153" s="4"/>
      <c r="O153" s="3"/>
      <c r="Q153" s="4"/>
      <c r="S153" s="3"/>
      <c r="U153" s="4"/>
      <c r="W153" s="3"/>
    </row>
    <row r="154" spans="5:23" s="2" customFormat="1" x14ac:dyDescent="0.25">
      <c r="E154" s="4"/>
      <c r="G154" s="3"/>
      <c r="I154" s="4"/>
      <c r="K154" s="3"/>
      <c r="M154" s="4"/>
      <c r="O154" s="3"/>
      <c r="Q154" s="4"/>
      <c r="S154" s="3"/>
      <c r="U154" s="4"/>
      <c r="W154" s="3"/>
    </row>
    <row r="155" spans="5:23" s="2" customFormat="1" x14ac:dyDescent="0.25">
      <c r="E155" s="4"/>
      <c r="G155" s="3"/>
      <c r="I155" s="4"/>
      <c r="K155" s="3"/>
      <c r="M155" s="4"/>
      <c r="O155" s="3"/>
      <c r="Q155" s="4"/>
      <c r="S155" s="3"/>
      <c r="U155" s="4"/>
      <c r="W155" s="3"/>
    </row>
    <row r="156" spans="5:23" s="2" customFormat="1" x14ac:dyDescent="0.25">
      <c r="E156" s="4"/>
      <c r="G156" s="3"/>
      <c r="I156" s="4"/>
      <c r="K156" s="3"/>
      <c r="M156" s="4"/>
      <c r="O156" s="3"/>
      <c r="Q156" s="4"/>
      <c r="S156" s="3"/>
      <c r="U156" s="4"/>
      <c r="W156" s="3"/>
    </row>
    <row r="157" spans="5:23" s="2" customFormat="1" x14ac:dyDescent="0.25">
      <c r="E157" s="4"/>
      <c r="G157" s="3"/>
      <c r="I157" s="4"/>
      <c r="K157" s="3"/>
      <c r="M157" s="4"/>
      <c r="O157" s="3"/>
      <c r="Q157" s="4"/>
      <c r="S157" s="3"/>
      <c r="U157" s="4"/>
      <c r="W157" s="3"/>
    </row>
    <row r="158" spans="5:23" s="2" customFormat="1" x14ac:dyDescent="0.25">
      <c r="E158" s="4"/>
      <c r="G158" s="3"/>
      <c r="I158" s="4"/>
      <c r="K158" s="3"/>
      <c r="M158" s="4"/>
      <c r="O158" s="3"/>
      <c r="Q158" s="4"/>
      <c r="S158" s="3"/>
      <c r="U158" s="4"/>
      <c r="W158" s="3"/>
    </row>
    <row r="159" spans="5:23" s="2" customFormat="1" x14ac:dyDescent="0.25">
      <c r="E159" s="4"/>
      <c r="G159" s="3"/>
      <c r="I159" s="4"/>
      <c r="K159" s="3"/>
      <c r="M159" s="4"/>
      <c r="O159" s="3"/>
      <c r="Q159" s="4"/>
      <c r="S159" s="3"/>
      <c r="U159" s="4"/>
      <c r="W159" s="3"/>
    </row>
    <row r="160" spans="5:23" s="2" customFormat="1" x14ac:dyDescent="0.25">
      <c r="E160" s="4"/>
      <c r="G160" s="3"/>
      <c r="I160" s="4"/>
      <c r="K160" s="3"/>
      <c r="M160" s="4"/>
      <c r="O160" s="3"/>
      <c r="Q160" s="4"/>
      <c r="S160" s="3"/>
      <c r="U160" s="4"/>
      <c r="W160" s="3"/>
    </row>
    <row r="161" spans="5:23" s="2" customFormat="1" x14ac:dyDescent="0.25">
      <c r="E161" s="4"/>
      <c r="G161" s="3"/>
      <c r="I161" s="4"/>
      <c r="K161" s="3"/>
      <c r="M161" s="4"/>
      <c r="O161" s="3"/>
      <c r="Q161" s="4"/>
      <c r="S161" s="3"/>
      <c r="U161" s="4"/>
      <c r="W161" s="3"/>
    </row>
    <row r="162" spans="5:23" s="2" customFormat="1" x14ac:dyDescent="0.25">
      <c r="E162" s="4"/>
      <c r="G162" s="3"/>
      <c r="I162" s="4"/>
      <c r="K162" s="3"/>
      <c r="M162" s="4"/>
      <c r="O162" s="3"/>
      <c r="Q162" s="4"/>
      <c r="S162" s="3"/>
      <c r="U162" s="4"/>
      <c r="W162" s="3"/>
    </row>
    <row r="163" spans="5:23" s="2" customFormat="1" x14ac:dyDescent="0.25">
      <c r="E163" s="4"/>
      <c r="G163" s="3"/>
      <c r="I163" s="4"/>
      <c r="K163" s="3"/>
      <c r="M163" s="4"/>
      <c r="O163" s="3"/>
      <c r="Q163" s="4"/>
      <c r="S163" s="3"/>
      <c r="U163" s="4"/>
      <c r="W163" s="3"/>
    </row>
    <row r="164" spans="5:23" s="2" customFormat="1" x14ac:dyDescent="0.25">
      <c r="E164" s="4"/>
      <c r="G164" s="3"/>
      <c r="I164" s="4"/>
      <c r="K164" s="3"/>
      <c r="M164" s="4"/>
      <c r="O164" s="3"/>
      <c r="Q164" s="4"/>
      <c r="S164" s="3"/>
      <c r="U164" s="4"/>
      <c r="W164" s="3"/>
    </row>
    <row r="165" spans="5:23" s="2" customFormat="1" x14ac:dyDescent="0.25">
      <c r="E165" s="4"/>
      <c r="G165" s="3"/>
      <c r="I165" s="4"/>
      <c r="K165" s="3"/>
      <c r="M165" s="4"/>
      <c r="O165" s="3"/>
      <c r="Q165" s="4"/>
      <c r="S165" s="3"/>
      <c r="U165" s="4"/>
      <c r="W165" s="3"/>
    </row>
    <row r="166" spans="5:23" s="2" customFormat="1" x14ac:dyDescent="0.25">
      <c r="E166" s="4"/>
      <c r="G166" s="3"/>
      <c r="I166" s="4"/>
      <c r="K166" s="3"/>
      <c r="M166" s="4"/>
      <c r="O166" s="3"/>
      <c r="Q166" s="4"/>
      <c r="S166" s="3"/>
      <c r="U166" s="4"/>
      <c r="W166" s="3"/>
    </row>
    <row r="167" spans="5:23" s="2" customFormat="1" x14ac:dyDescent="0.25">
      <c r="E167" s="4"/>
      <c r="G167" s="3"/>
      <c r="I167" s="4"/>
      <c r="K167" s="3"/>
      <c r="M167" s="4"/>
      <c r="O167" s="3"/>
      <c r="Q167" s="4"/>
      <c r="S167" s="3"/>
      <c r="U167" s="4"/>
      <c r="W167" s="3"/>
    </row>
    <row r="168" spans="5:23" s="2" customFormat="1" x14ac:dyDescent="0.25">
      <c r="E168" s="4"/>
      <c r="G168" s="3"/>
      <c r="I168" s="4"/>
      <c r="K168" s="3"/>
      <c r="M168" s="4"/>
      <c r="O168" s="3"/>
      <c r="Q168" s="4"/>
      <c r="S168" s="3"/>
      <c r="U168" s="4"/>
      <c r="W168" s="3"/>
    </row>
    <row r="169" spans="5:23" s="2" customFormat="1" x14ac:dyDescent="0.25">
      <c r="E169" s="4"/>
      <c r="G169" s="3"/>
      <c r="I169" s="4"/>
      <c r="K169" s="3"/>
      <c r="M169" s="4"/>
      <c r="O169" s="3"/>
      <c r="Q169" s="4"/>
      <c r="S169" s="3"/>
      <c r="U169" s="4"/>
      <c r="W169" s="3"/>
    </row>
    <row r="170" spans="5:23" s="2" customFormat="1" x14ac:dyDescent="0.25">
      <c r="E170" s="4"/>
      <c r="G170" s="3"/>
      <c r="I170" s="4"/>
      <c r="K170" s="3"/>
      <c r="M170" s="4"/>
      <c r="O170" s="3"/>
      <c r="Q170" s="4"/>
      <c r="S170" s="3"/>
      <c r="U170" s="4"/>
      <c r="W170" s="3"/>
    </row>
    <row r="171" spans="5:23" s="2" customFormat="1" x14ac:dyDescent="0.25">
      <c r="E171" s="4"/>
      <c r="G171" s="3"/>
      <c r="I171" s="4"/>
      <c r="K171" s="3"/>
      <c r="M171" s="4"/>
      <c r="O171" s="3"/>
      <c r="Q171" s="4"/>
      <c r="S171" s="3"/>
      <c r="U171" s="4"/>
      <c r="W171" s="3"/>
    </row>
    <row r="172" spans="5:23" s="2" customFormat="1" x14ac:dyDescent="0.25">
      <c r="E172" s="4"/>
      <c r="G172" s="3"/>
      <c r="I172" s="4"/>
      <c r="K172" s="3"/>
      <c r="M172" s="4"/>
      <c r="O172" s="3"/>
      <c r="Q172" s="4"/>
      <c r="S172" s="3"/>
      <c r="U172" s="4"/>
      <c r="W172" s="3"/>
    </row>
    <row r="173" spans="5:23" s="2" customFormat="1" x14ac:dyDescent="0.25">
      <c r="E173" s="4"/>
      <c r="G173" s="3"/>
      <c r="I173" s="4"/>
      <c r="K173" s="3"/>
      <c r="M173" s="4"/>
      <c r="O173" s="3"/>
      <c r="Q173" s="4"/>
      <c r="S173" s="3"/>
      <c r="U173" s="4"/>
      <c r="W173" s="3"/>
    </row>
    <row r="174" spans="5:23" s="2" customFormat="1" x14ac:dyDescent="0.25">
      <c r="E174" s="4"/>
      <c r="G174" s="3"/>
      <c r="I174" s="4"/>
      <c r="K174" s="3"/>
      <c r="M174" s="4"/>
      <c r="O174" s="3"/>
      <c r="Q174" s="4"/>
      <c r="S174" s="3"/>
      <c r="U174" s="4"/>
      <c r="W174" s="3"/>
    </row>
    <row r="175" spans="5:23" s="2" customFormat="1" x14ac:dyDescent="0.25">
      <c r="E175" s="4"/>
      <c r="G175" s="3"/>
      <c r="I175" s="4"/>
      <c r="K175" s="3"/>
      <c r="M175" s="4"/>
      <c r="O175" s="3"/>
      <c r="Q175" s="4"/>
      <c r="S175" s="3"/>
      <c r="U175" s="4"/>
      <c r="W175" s="3"/>
    </row>
    <row r="176" spans="5:23" s="2" customFormat="1" x14ac:dyDescent="0.25">
      <c r="E176" s="4"/>
      <c r="G176" s="3"/>
      <c r="I176" s="4"/>
      <c r="K176" s="3"/>
      <c r="M176" s="4"/>
      <c r="O176" s="3"/>
      <c r="Q176" s="4"/>
      <c r="S176" s="3"/>
      <c r="U176" s="4"/>
      <c r="W176" s="3"/>
    </row>
    <row r="177" spans="5:23" s="2" customFormat="1" x14ac:dyDescent="0.25">
      <c r="E177" s="4"/>
      <c r="G177" s="3"/>
      <c r="I177" s="4"/>
      <c r="K177" s="3"/>
      <c r="M177" s="4"/>
      <c r="O177" s="3"/>
      <c r="Q177" s="4"/>
      <c r="S177" s="3"/>
      <c r="U177" s="4"/>
      <c r="W177" s="3"/>
    </row>
    <row r="178" spans="5:23" s="2" customFormat="1" x14ac:dyDescent="0.25">
      <c r="E178" s="4"/>
      <c r="G178" s="3"/>
      <c r="I178" s="4"/>
      <c r="K178" s="3"/>
      <c r="M178" s="4"/>
      <c r="O178" s="3"/>
      <c r="Q178" s="4"/>
      <c r="S178" s="3"/>
      <c r="U178" s="4"/>
      <c r="W178" s="3"/>
    </row>
    <row r="179" spans="5:23" s="2" customFormat="1" x14ac:dyDescent="0.25">
      <c r="E179" s="4"/>
      <c r="G179" s="3"/>
      <c r="I179" s="4"/>
      <c r="K179" s="3"/>
      <c r="M179" s="4"/>
      <c r="O179" s="3"/>
      <c r="Q179" s="4"/>
      <c r="S179" s="3"/>
      <c r="U179" s="4"/>
      <c r="W179" s="3"/>
    </row>
    <row r="180" spans="5:23" s="2" customFormat="1" x14ac:dyDescent="0.25">
      <c r="E180" s="4"/>
      <c r="G180" s="3"/>
      <c r="I180" s="4"/>
      <c r="K180" s="3"/>
      <c r="M180" s="4"/>
      <c r="O180" s="3"/>
      <c r="Q180" s="4"/>
      <c r="S180" s="3"/>
      <c r="U180" s="4"/>
      <c r="W180" s="3"/>
    </row>
    <row r="181" spans="5:23" s="2" customFormat="1" x14ac:dyDescent="0.25">
      <c r="E181" s="4"/>
      <c r="G181" s="3"/>
      <c r="I181" s="4"/>
      <c r="K181" s="3"/>
      <c r="M181" s="4"/>
      <c r="O181" s="3"/>
      <c r="Q181" s="4"/>
      <c r="S181" s="3"/>
      <c r="U181" s="4"/>
      <c r="W181" s="3"/>
    </row>
    <row r="182" spans="5:23" s="2" customFormat="1" x14ac:dyDescent="0.25">
      <c r="E182" s="4"/>
      <c r="G182" s="3"/>
      <c r="I182" s="4"/>
      <c r="K182" s="3"/>
      <c r="M182" s="4"/>
      <c r="O182" s="3"/>
      <c r="Q182" s="4"/>
      <c r="S182" s="3"/>
      <c r="U182" s="4"/>
      <c r="W182" s="3"/>
    </row>
    <row r="183" spans="5:23" s="2" customFormat="1" x14ac:dyDescent="0.25">
      <c r="E183" s="4"/>
      <c r="G183" s="3"/>
      <c r="I183" s="4"/>
      <c r="K183" s="3"/>
      <c r="M183" s="4"/>
      <c r="O183" s="3"/>
      <c r="Q183" s="4"/>
      <c r="S183" s="3"/>
      <c r="U183" s="4"/>
      <c r="W183" s="3"/>
    </row>
    <row r="184" spans="5:23" s="2" customFormat="1" x14ac:dyDescent="0.25">
      <c r="E184" s="4"/>
      <c r="G184" s="3"/>
      <c r="I184" s="4"/>
      <c r="K184" s="3"/>
      <c r="M184" s="4"/>
      <c r="O184" s="3"/>
      <c r="Q184" s="4"/>
      <c r="S184" s="3"/>
      <c r="U184" s="4"/>
      <c r="W184" s="3"/>
    </row>
    <row r="185" spans="5:23" s="2" customFormat="1" x14ac:dyDescent="0.25">
      <c r="E185" s="4"/>
      <c r="G185" s="3"/>
      <c r="I185" s="4"/>
      <c r="K185" s="3"/>
      <c r="M185" s="4"/>
      <c r="O185" s="3"/>
      <c r="Q185" s="4"/>
      <c r="S185" s="3"/>
      <c r="U185" s="4"/>
      <c r="W185" s="3"/>
    </row>
    <row r="186" spans="5:23" s="2" customFormat="1" x14ac:dyDescent="0.25">
      <c r="E186" s="4"/>
      <c r="G186" s="3"/>
      <c r="I186" s="4"/>
      <c r="K186" s="3"/>
      <c r="M186" s="4"/>
      <c r="O186" s="3"/>
      <c r="Q186" s="4"/>
      <c r="S186" s="3"/>
      <c r="U186" s="4"/>
      <c r="W186" s="3"/>
    </row>
    <row r="187" spans="5:23" s="2" customFormat="1" x14ac:dyDescent="0.25">
      <c r="E187" s="4"/>
      <c r="G187" s="3"/>
      <c r="I187" s="4"/>
      <c r="K187" s="3"/>
      <c r="M187" s="4"/>
      <c r="O187" s="3"/>
      <c r="Q187" s="4"/>
      <c r="S187" s="3"/>
      <c r="U187" s="4"/>
      <c r="W187" s="3"/>
    </row>
    <row r="188" spans="5:23" s="2" customFormat="1" x14ac:dyDescent="0.25">
      <c r="E188" s="4"/>
      <c r="G188" s="3"/>
      <c r="I188" s="4"/>
      <c r="K188" s="3"/>
      <c r="M188" s="4"/>
      <c r="O188" s="3"/>
      <c r="Q188" s="4"/>
      <c r="S188" s="3"/>
      <c r="U188" s="4"/>
      <c r="W188" s="3"/>
    </row>
    <row r="189" spans="5:23" s="2" customFormat="1" x14ac:dyDescent="0.25">
      <c r="E189" s="4"/>
      <c r="G189" s="3"/>
      <c r="I189" s="4"/>
      <c r="K189" s="3"/>
      <c r="M189" s="4"/>
      <c r="O189" s="3"/>
      <c r="Q189" s="4"/>
      <c r="S189" s="3"/>
      <c r="U189" s="4"/>
      <c r="W189" s="3"/>
    </row>
    <row r="190" spans="5:23" s="2" customFormat="1" x14ac:dyDescent="0.25">
      <c r="E190" s="4"/>
      <c r="G190" s="3"/>
      <c r="I190" s="4"/>
      <c r="K190" s="3"/>
      <c r="M190" s="4"/>
      <c r="O190" s="3"/>
      <c r="Q190" s="4"/>
      <c r="S190" s="3"/>
      <c r="U190" s="4"/>
      <c r="W190" s="3"/>
    </row>
    <row r="191" spans="5:23" s="2" customFormat="1" x14ac:dyDescent="0.25">
      <c r="E191" s="4"/>
      <c r="G191" s="3"/>
      <c r="I191" s="4"/>
      <c r="K191" s="3"/>
      <c r="M191" s="4"/>
      <c r="O191" s="3"/>
      <c r="Q191" s="4"/>
      <c r="S191" s="3"/>
      <c r="U191" s="4"/>
      <c r="W191" s="3"/>
    </row>
    <row r="192" spans="5:23" s="2" customFormat="1" x14ac:dyDescent="0.25">
      <c r="E192" s="4"/>
      <c r="G192" s="3"/>
      <c r="I192" s="4"/>
      <c r="K192" s="3"/>
      <c r="M192" s="4"/>
      <c r="O192" s="3"/>
      <c r="Q192" s="4"/>
      <c r="S192" s="3"/>
      <c r="U192" s="4"/>
      <c r="W192" s="3"/>
    </row>
    <row r="193" spans="5:23" s="2" customFormat="1" x14ac:dyDescent="0.25">
      <c r="E193" s="4"/>
      <c r="G193" s="3"/>
      <c r="I193" s="4"/>
      <c r="K193" s="3"/>
      <c r="M193" s="4"/>
      <c r="O193" s="3"/>
      <c r="Q193" s="4"/>
      <c r="S193" s="3"/>
      <c r="U193" s="4"/>
      <c r="W193" s="3"/>
    </row>
    <row r="194" spans="5:23" s="2" customFormat="1" x14ac:dyDescent="0.25">
      <c r="E194" s="4"/>
      <c r="G194" s="3"/>
      <c r="I194" s="4"/>
      <c r="K194" s="3"/>
      <c r="M194" s="4"/>
      <c r="O194" s="3"/>
      <c r="Q194" s="4"/>
      <c r="S194" s="3"/>
      <c r="U194" s="4"/>
      <c r="W194" s="3"/>
    </row>
    <row r="195" spans="5:23" s="2" customFormat="1" x14ac:dyDescent="0.25">
      <c r="E195" s="4"/>
      <c r="G195" s="3"/>
      <c r="I195" s="4"/>
      <c r="K195" s="3"/>
      <c r="M195" s="4"/>
      <c r="O195" s="3"/>
      <c r="Q195" s="4"/>
      <c r="S195" s="3"/>
      <c r="U195" s="4"/>
      <c r="W195" s="3"/>
    </row>
    <row r="196" spans="5:23" s="2" customFormat="1" x14ac:dyDescent="0.25">
      <c r="E196" s="4"/>
      <c r="G196" s="3"/>
      <c r="I196" s="4"/>
      <c r="K196" s="3"/>
      <c r="M196" s="4"/>
      <c r="O196" s="3"/>
      <c r="Q196" s="4"/>
      <c r="S196" s="3"/>
      <c r="U196" s="4"/>
      <c r="W196" s="3"/>
    </row>
    <row r="197" spans="5:23" s="2" customFormat="1" x14ac:dyDescent="0.25">
      <c r="E197" s="4"/>
      <c r="G197" s="3"/>
      <c r="I197" s="4"/>
      <c r="K197" s="3"/>
      <c r="M197" s="4"/>
      <c r="O197" s="3"/>
      <c r="Q197" s="4"/>
      <c r="S197" s="3"/>
      <c r="U197" s="4"/>
      <c r="W197" s="3"/>
    </row>
    <row r="198" spans="5:23" s="2" customFormat="1" x14ac:dyDescent="0.25">
      <c r="E198" s="4"/>
      <c r="G198" s="3"/>
      <c r="I198" s="4"/>
      <c r="K198" s="3"/>
      <c r="M198" s="4"/>
      <c r="O198" s="3"/>
      <c r="Q198" s="4"/>
      <c r="S198" s="3"/>
      <c r="U198" s="4"/>
      <c r="W198" s="3"/>
    </row>
    <row r="199" spans="5:23" s="2" customFormat="1" x14ac:dyDescent="0.25">
      <c r="E199" s="4"/>
      <c r="G199" s="3"/>
      <c r="I199" s="4"/>
      <c r="K199" s="3"/>
      <c r="M199" s="4"/>
      <c r="O199" s="3"/>
      <c r="Q199" s="4"/>
      <c r="S199" s="3"/>
      <c r="U199" s="4"/>
      <c r="W199" s="3"/>
    </row>
    <row r="200" spans="5:23" s="2" customFormat="1" x14ac:dyDescent="0.25">
      <c r="E200" s="4"/>
      <c r="G200" s="3"/>
      <c r="I200" s="4"/>
      <c r="K200" s="3"/>
      <c r="M200" s="4"/>
      <c r="O200" s="3"/>
      <c r="Q200" s="4"/>
      <c r="S200" s="3"/>
      <c r="U200" s="4"/>
      <c r="W200" s="3"/>
    </row>
    <row r="201" spans="5:23" s="2" customFormat="1" x14ac:dyDescent="0.25">
      <c r="E201" s="4"/>
      <c r="G201" s="3"/>
      <c r="I201" s="4"/>
      <c r="K201" s="3"/>
      <c r="M201" s="4"/>
      <c r="O201" s="3"/>
      <c r="Q201" s="4"/>
      <c r="S201" s="3"/>
      <c r="U201" s="4"/>
      <c r="W201" s="3"/>
    </row>
    <row r="202" spans="5:23" s="2" customFormat="1" x14ac:dyDescent="0.25">
      <c r="E202" s="4"/>
      <c r="G202" s="3"/>
      <c r="I202" s="4"/>
      <c r="K202" s="3"/>
      <c r="M202" s="4"/>
      <c r="O202" s="3"/>
      <c r="Q202" s="4"/>
      <c r="S202" s="3"/>
      <c r="U202" s="4"/>
      <c r="W202" s="3"/>
    </row>
    <row r="203" spans="5:23" s="2" customFormat="1" x14ac:dyDescent="0.25">
      <c r="E203" s="4"/>
      <c r="G203" s="3"/>
      <c r="I203" s="4"/>
      <c r="K203" s="3"/>
      <c r="M203" s="4"/>
      <c r="O203" s="3"/>
      <c r="Q203" s="4"/>
      <c r="S203" s="3"/>
      <c r="U203" s="4"/>
      <c r="W203" s="3"/>
    </row>
    <row r="204" spans="5:23" s="2" customFormat="1" x14ac:dyDescent="0.25">
      <c r="E204" s="4"/>
      <c r="G204" s="3"/>
      <c r="I204" s="4"/>
      <c r="K204" s="3"/>
      <c r="M204" s="4"/>
      <c r="O204" s="3"/>
      <c r="Q204" s="4"/>
      <c r="S204" s="3"/>
      <c r="U204" s="4"/>
      <c r="W204" s="3"/>
    </row>
    <row r="205" spans="5:23" s="2" customFormat="1" x14ac:dyDescent="0.25">
      <c r="E205" s="4"/>
      <c r="G205" s="3"/>
      <c r="I205" s="4"/>
      <c r="K205" s="3"/>
      <c r="M205" s="4"/>
      <c r="O205" s="3"/>
      <c r="Q205" s="4"/>
      <c r="S205" s="3"/>
      <c r="U205" s="4"/>
      <c r="W205" s="3"/>
    </row>
    <row r="206" spans="5:23" s="2" customFormat="1" x14ac:dyDescent="0.25">
      <c r="E206" s="4"/>
      <c r="G206" s="3"/>
      <c r="I206" s="4"/>
      <c r="K206" s="3"/>
      <c r="M206" s="4"/>
      <c r="O206" s="3"/>
      <c r="Q206" s="4"/>
      <c r="S206" s="3"/>
      <c r="U206" s="4"/>
      <c r="W206" s="3"/>
    </row>
    <row r="207" spans="5:23" s="2" customFormat="1" x14ac:dyDescent="0.25">
      <c r="E207" s="4"/>
      <c r="G207" s="3"/>
      <c r="I207" s="4"/>
      <c r="K207" s="3"/>
      <c r="M207" s="4"/>
      <c r="O207" s="3"/>
      <c r="Q207" s="4"/>
      <c r="S207" s="3"/>
      <c r="U207" s="4"/>
      <c r="W207" s="3"/>
    </row>
    <row r="208" spans="5:23" s="2" customFormat="1" x14ac:dyDescent="0.25">
      <c r="E208" s="4"/>
      <c r="G208" s="3"/>
      <c r="I208" s="4"/>
      <c r="K208" s="3"/>
      <c r="M208" s="4"/>
      <c r="O208" s="3"/>
      <c r="Q208" s="4"/>
      <c r="S208" s="3"/>
      <c r="U208" s="4"/>
      <c r="W208" s="3"/>
    </row>
    <row r="209" spans="5:23" s="2" customFormat="1" x14ac:dyDescent="0.25">
      <c r="E209" s="4"/>
      <c r="G209" s="3"/>
      <c r="I209" s="4"/>
      <c r="K209" s="3"/>
      <c r="M209" s="4"/>
      <c r="O209" s="3"/>
      <c r="Q209" s="4"/>
      <c r="S209" s="3"/>
      <c r="U209" s="4"/>
      <c r="W209" s="3"/>
    </row>
    <row r="210" spans="5:23" s="2" customFormat="1" x14ac:dyDescent="0.25">
      <c r="E210" s="4"/>
      <c r="G210" s="3"/>
      <c r="I210" s="4"/>
      <c r="K210" s="3"/>
      <c r="M210" s="4"/>
      <c r="O210" s="3"/>
      <c r="Q210" s="4"/>
      <c r="S210" s="3"/>
      <c r="U210" s="4"/>
      <c r="W210" s="3"/>
    </row>
    <row r="211" spans="5:23" s="2" customFormat="1" x14ac:dyDescent="0.25">
      <c r="E211" s="4"/>
      <c r="G211" s="3"/>
      <c r="I211" s="4"/>
      <c r="K211" s="3"/>
      <c r="M211" s="4"/>
      <c r="O211" s="3"/>
      <c r="Q211" s="4"/>
      <c r="S211" s="3"/>
      <c r="U211" s="4"/>
      <c r="W211" s="3"/>
    </row>
    <row r="212" spans="5:23" s="2" customFormat="1" x14ac:dyDescent="0.25">
      <c r="E212" s="4"/>
      <c r="G212" s="3"/>
      <c r="I212" s="4"/>
      <c r="K212" s="3"/>
      <c r="M212" s="4"/>
      <c r="O212" s="3"/>
      <c r="Q212" s="4"/>
      <c r="S212" s="3"/>
      <c r="U212" s="4"/>
      <c r="W212" s="3"/>
    </row>
    <row r="213" spans="5:23" s="2" customFormat="1" x14ac:dyDescent="0.25">
      <c r="E213" s="4"/>
      <c r="G213" s="3"/>
      <c r="I213" s="4"/>
      <c r="K213" s="3"/>
      <c r="M213" s="4"/>
      <c r="O213" s="3"/>
      <c r="Q213" s="4"/>
      <c r="S213" s="3"/>
      <c r="U213" s="4"/>
      <c r="W213" s="3"/>
    </row>
    <row r="214" spans="5:23" s="2" customFormat="1" x14ac:dyDescent="0.25">
      <c r="E214" s="4"/>
      <c r="G214" s="3"/>
      <c r="I214" s="4"/>
      <c r="K214" s="3"/>
      <c r="M214" s="4"/>
      <c r="O214" s="3"/>
      <c r="Q214" s="4"/>
      <c r="S214" s="3"/>
      <c r="U214" s="4"/>
      <c r="W214" s="3"/>
    </row>
    <row r="215" spans="5:23" s="2" customFormat="1" x14ac:dyDescent="0.25">
      <c r="E215" s="4"/>
      <c r="G215" s="3"/>
      <c r="I215" s="4"/>
      <c r="K215" s="3"/>
      <c r="M215" s="4"/>
      <c r="O215" s="3"/>
      <c r="Q215" s="4"/>
      <c r="S215" s="3"/>
      <c r="U215" s="4"/>
      <c r="W215" s="3"/>
    </row>
    <row r="216" spans="5:23" s="2" customFormat="1" x14ac:dyDescent="0.25">
      <c r="E216" s="4"/>
      <c r="G216" s="3"/>
      <c r="I216" s="4"/>
      <c r="K216" s="3"/>
      <c r="M216" s="4"/>
      <c r="O216" s="3"/>
      <c r="Q216" s="4"/>
      <c r="S216" s="3"/>
      <c r="U216" s="4"/>
      <c r="W216" s="3"/>
    </row>
    <row r="217" spans="5:23" s="2" customFormat="1" x14ac:dyDescent="0.25">
      <c r="E217" s="4"/>
      <c r="G217" s="3"/>
      <c r="I217" s="4"/>
      <c r="K217" s="3"/>
      <c r="M217" s="4"/>
      <c r="O217" s="3"/>
      <c r="Q217" s="4"/>
      <c r="S217" s="3"/>
      <c r="U217" s="4"/>
      <c r="W217" s="3"/>
    </row>
    <row r="218" spans="5:23" s="2" customFormat="1" x14ac:dyDescent="0.25">
      <c r="E218" s="4"/>
      <c r="G218" s="3"/>
      <c r="I218" s="4"/>
      <c r="K218" s="3"/>
      <c r="M218" s="4"/>
      <c r="O218" s="3"/>
      <c r="Q218" s="4"/>
      <c r="S218" s="3"/>
      <c r="U218" s="4"/>
      <c r="W218" s="3"/>
    </row>
    <row r="219" spans="5:23" s="2" customFormat="1" x14ac:dyDescent="0.25">
      <c r="E219" s="4"/>
      <c r="G219" s="3"/>
      <c r="I219" s="4"/>
      <c r="K219" s="3"/>
      <c r="M219" s="4"/>
      <c r="O219" s="3"/>
      <c r="Q219" s="4"/>
      <c r="S219" s="3"/>
      <c r="U219" s="4"/>
      <c r="W219" s="3"/>
    </row>
    <row r="220" spans="5:23" s="2" customFormat="1" x14ac:dyDescent="0.25">
      <c r="E220" s="4"/>
      <c r="G220" s="3"/>
      <c r="I220" s="4"/>
      <c r="K220" s="3"/>
      <c r="M220" s="4"/>
      <c r="O220" s="3"/>
      <c r="Q220" s="4"/>
      <c r="S220" s="3"/>
      <c r="U220" s="4"/>
      <c r="W220" s="3"/>
    </row>
    <row r="221" spans="5:23" s="2" customFormat="1" x14ac:dyDescent="0.25">
      <c r="E221" s="4"/>
      <c r="G221" s="3"/>
      <c r="I221" s="4"/>
      <c r="K221" s="3"/>
      <c r="M221" s="4"/>
      <c r="O221" s="3"/>
      <c r="Q221" s="4"/>
      <c r="S221" s="3"/>
      <c r="U221" s="4"/>
      <c r="W221" s="3"/>
    </row>
    <row r="222" spans="5:23" s="2" customFormat="1" x14ac:dyDescent="0.25">
      <c r="E222" s="4"/>
      <c r="G222" s="3"/>
      <c r="I222" s="4"/>
      <c r="K222" s="3"/>
      <c r="M222" s="4"/>
      <c r="O222" s="3"/>
      <c r="Q222" s="4"/>
      <c r="S222" s="3"/>
      <c r="U222" s="4"/>
      <c r="W222" s="3"/>
    </row>
    <row r="223" spans="5:23" s="2" customFormat="1" x14ac:dyDescent="0.25">
      <c r="E223" s="4"/>
      <c r="G223" s="3"/>
      <c r="I223" s="4"/>
      <c r="K223" s="3"/>
      <c r="M223" s="4"/>
      <c r="O223" s="3"/>
      <c r="Q223" s="4"/>
      <c r="S223" s="3"/>
      <c r="U223" s="4"/>
      <c r="W223" s="3"/>
    </row>
    <row r="224" spans="5:23" s="2" customFormat="1" x14ac:dyDescent="0.25">
      <c r="E224" s="4"/>
      <c r="G224" s="3"/>
      <c r="I224" s="4"/>
      <c r="K224" s="3"/>
      <c r="M224" s="4"/>
      <c r="O224" s="3"/>
      <c r="Q224" s="4"/>
      <c r="S224" s="3"/>
      <c r="U224" s="4"/>
      <c r="W224" s="3"/>
    </row>
    <row r="225" spans="5:23" s="2" customFormat="1" x14ac:dyDescent="0.25">
      <c r="E225" s="4"/>
      <c r="G225" s="3"/>
      <c r="I225" s="4"/>
      <c r="K225" s="3"/>
      <c r="M225" s="4"/>
      <c r="O225" s="3"/>
      <c r="Q225" s="4"/>
      <c r="S225" s="3"/>
      <c r="U225" s="4"/>
      <c r="W225" s="3"/>
    </row>
    <row r="226" spans="5:23" s="2" customFormat="1" x14ac:dyDescent="0.25">
      <c r="E226" s="4"/>
      <c r="G226" s="3"/>
      <c r="I226" s="4"/>
      <c r="K226" s="3"/>
      <c r="M226" s="4"/>
      <c r="O226" s="3"/>
      <c r="Q226" s="4"/>
      <c r="S226" s="3"/>
      <c r="U226" s="4"/>
      <c r="W226" s="3"/>
    </row>
    <row r="227" spans="5:23" s="2" customFormat="1" x14ac:dyDescent="0.25">
      <c r="E227" s="4"/>
      <c r="G227" s="3"/>
      <c r="I227" s="4"/>
      <c r="K227" s="3"/>
      <c r="M227" s="4"/>
      <c r="O227" s="3"/>
      <c r="Q227" s="4"/>
      <c r="S227" s="3"/>
      <c r="U227" s="4"/>
      <c r="W227" s="3"/>
    </row>
    <row r="228" spans="5:23" s="2" customFormat="1" x14ac:dyDescent="0.25">
      <c r="E228" s="4"/>
      <c r="G228" s="3"/>
      <c r="I228" s="4"/>
      <c r="K228" s="3"/>
      <c r="M228" s="4"/>
      <c r="O228" s="3"/>
      <c r="Q228" s="4"/>
      <c r="S228" s="3"/>
      <c r="U228" s="4"/>
      <c r="W228" s="3"/>
    </row>
    <row r="229" spans="5:23" s="2" customFormat="1" x14ac:dyDescent="0.25">
      <c r="E229" s="4"/>
      <c r="G229" s="3"/>
      <c r="I229" s="4"/>
      <c r="K229" s="3"/>
      <c r="M229" s="4"/>
      <c r="O229" s="3"/>
      <c r="Q229" s="4"/>
      <c r="S229" s="3"/>
      <c r="U229" s="4"/>
      <c r="W229" s="3"/>
    </row>
    <row r="230" spans="5:23" s="2" customFormat="1" x14ac:dyDescent="0.25">
      <c r="E230" s="4"/>
      <c r="G230" s="3"/>
      <c r="I230" s="4"/>
      <c r="K230" s="3"/>
      <c r="M230" s="4"/>
      <c r="O230" s="3"/>
      <c r="Q230" s="4"/>
      <c r="S230" s="3"/>
      <c r="U230" s="4"/>
      <c r="W230" s="3"/>
    </row>
    <row r="231" spans="5:23" s="2" customFormat="1" x14ac:dyDescent="0.25">
      <c r="E231" s="4"/>
      <c r="G231" s="3"/>
      <c r="I231" s="4"/>
      <c r="K231" s="3"/>
      <c r="M231" s="4"/>
      <c r="O231" s="3"/>
      <c r="Q231" s="4"/>
      <c r="S231" s="3"/>
      <c r="U231" s="4"/>
      <c r="W231" s="3"/>
    </row>
    <row r="232" spans="5:23" s="2" customFormat="1" x14ac:dyDescent="0.25">
      <c r="E232" s="4"/>
      <c r="G232" s="3"/>
      <c r="I232" s="4"/>
      <c r="K232" s="3"/>
      <c r="M232" s="4"/>
      <c r="O232" s="3"/>
      <c r="Q232" s="4"/>
      <c r="S232" s="3"/>
      <c r="U232" s="4"/>
      <c r="W232" s="3"/>
    </row>
    <row r="233" spans="5:23" s="2" customFormat="1" x14ac:dyDescent="0.25">
      <c r="E233" s="4"/>
      <c r="G233" s="3"/>
      <c r="I233" s="4"/>
      <c r="K233" s="3"/>
      <c r="M233" s="4"/>
      <c r="O233" s="3"/>
      <c r="Q233" s="4"/>
      <c r="S233" s="3"/>
      <c r="U233" s="4"/>
      <c r="W233" s="3"/>
    </row>
    <row r="234" spans="5:23" s="2" customFormat="1" x14ac:dyDescent="0.25">
      <c r="E234" s="4"/>
      <c r="G234" s="3"/>
      <c r="I234" s="4"/>
      <c r="K234" s="3"/>
      <c r="M234" s="4"/>
      <c r="O234" s="3"/>
      <c r="Q234" s="4"/>
      <c r="S234" s="3"/>
      <c r="U234" s="4"/>
      <c r="W234" s="3"/>
    </row>
    <row r="235" spans="5:23" s="2" customFormat="1" x14ac:dyDescent="0.25">
      <c r="E235" s="4"/>
      <c r="G235" s="3"/>
      <c r="I235" s="4"/>
      <c r="K235" s="3"/>
      <c r="M235" s="4"/>
      <c r="O235" s="3"/>
      <c r="Q235" s="4"/>
      <c r="S235" s="3"/>
      <c r="U235" s="4"/>
      <c r="W235" s="3"/>
    </row>
    <row r="236" spans="5:23" s="2" customFormat="1" x14ac:dyDescent="0.25">
      <c r="E236" s="4"/>
      <c r="G236" s="3"/>
      <c r="I236" s="4"/>
      <c r="K236" s="3"/>
      <c r="M236" s="4"/>
      <c r="O236" s="3"/>
      <c r="Q236" s="4"/>
      <c r="S236" s="3"/>
      <c r="U236" s="4"/>
      <c r="W236" s="3"/>
    </row>
    <row r="237" spans="5:23" s="2" customFormat="1" x14ac:dyDescent="0.25">
      <c r="E237" s="4"/>
      <c r="G237" s="3"/>
      <c r="I237" s="4"/>
      <c r="K237" s="3"/>
      <c r="M237" s="4"/>
      <c r="O237" s="3"/>
      <c r="Q237" s="4"/>
      <c r="S237" s="3"/>
      <c r="U237" s="4"/>
      <c r="W237" s="3"/>
    </row>
    <row r="238" spans="5:23" s="2" customFormat="1" x14ac:dyDescent="0.25">
      <c r="E238" s="4"/>
      <c r="G238" s="3"/>
      <c r="I238" s="4"/>
      <c r="K238" s="3"/>
      <c r="M238" s="4"/>
      <c r="O238" s="3"/>
      <c r="Q238" s="4"/>
      <c r="S238" s="3"/>
      <c r="U238" s="4"/>
      <c r="W238" s="3"/>
    </row>
    <row r="239" spans="5:23" s="2" customFormat="1" x14ac:dyDescent="0.25">
      <c r="E239" s="4"/>
      <c r="G239" s="3"/>
      <c r="I239" s="4"/>
      <c r="K239" s="3"/>
      <c r="M239" s="4"/>
      <c r="O239" s="3"/>
      <c r="Q239" s="4"/>
      <c r="S239" s="3"/>
      <c r="U239" s="4"/>
      <c r="W239" s="3"/>
    </row>
    <row r="240" spans="5:23" s="2" customFormat="1" x14ac:dyDescent="0.25">
      <c r="E240" s="4"/>
      <c r="G240" s="3"/>
      <c r="I240" s="4"/>
      <c r="K240" s="3"/>
      <c r="M240" s="4"/>
      <c r="O240" s="3"/>
      <c r="Q240" s="4"/>
      <c r="S240" s="3"/>
      <c r="U240" s="4"/>
      <c r="W240" s="3"/>
    </row>
    <row r="241" spans="5:23" s="2" customFormat="1" x14ac:dyDescent="0.25">
      <c r="E241" s="4"/>
      <c r="G241" s="3"/>
      <c r="I241" s="4"/>
      <c r="K241" s="3"/>
      <c r="M241" s="4"/>
      <c r="O241" s="3"/>
      <c r="Q241" s="4"/>
      <c r="S241" s="3"/>
      <c r="U241" s="4"/>
      <c r="W241" s="3"/>
    </row>
    <row r="242" spans="5:23" s="2" customFormat="1" x14ac:dyDescent="0.25">
      <c r="E242" s="4"/>
      <c r="G242" s="3"/>
      <c r="I242" s="4"/>
      <c r="K242" s="3"/>
      <c r="M242" s="4"/>
      <c r="O242" s="3"/>
      <c r="Q242" s="4"/>
      <c r="S242" s="3"/>
      <c r="U242" s="4"/>
      <c r="W242" s="3"/>
    </row>
    <row r="243" spans="5:23" s="2" customFormat="1" x14ac:dyDescent="0.25">
      <c r="E243" s="4"/>
      <c r="G243" s="3"/>
      <c r="I243" s="4"/>
      <c r="K243" s="3"/>
      <c r="M243" s="4"/>
      <c r="O243" s="3"/>
      <c r="Q243" s="4"/>
      <c r="S243" s="3"/>
      <c r="U243" s="4"/>
      <c r="W243" s="3"/>
    </row>
    <row r="244" spans="5:23" s="2" customFormat="1" x14ac:dyDescent="0.25">
      <c r="E244" s="4"/>
      <c r="G244" s="3"/>
      <c r="I244" s="4"/>
      <c r="K244" s="3"/>
      <c r="M244" s="4"/>
      <c r="O244" s="3"/>
      <c r="Q244" s="4"/>
      <c r="S244" s="3"/>
      <c r="U244" s="4"/>
      <c r="W244" s="3"/>
    </row>
    <row r="245" spans="5:23" s="2" customFormat="1" x14ac:dyDescent="0.25">
      <c r="E245" s="4"/>
      <c r="G245" s="3"/>
      <c r="I245" s="4"/>
      <c r="K245" s="3"/>
      <c r="M245" s="4"/>
      <c r="O245" s="3"/>
      <c r="Q245" s="4"/>
      <c r="S245" s="3"/>
      <c r="U245" s="4"/>
      <c r="W245" s="3"/>
    </row>
    <row r="246" spans="5:23" s="2" customFormat="1" x14ac:dyDescent="0.25">
      <c r="E246" s="4"/>
      <c r="G246" s="3"/>
      <c r="I246" s="4"/>
      <c r="K246" s="3"/>
      <c r="M246" s="4"/>
      <c r="O246" s="3"/>
      <c r="Q246" s="4"/>
      <c r="S246" s="3"/>
      <c r="U246" s="4"/>
      <c r="W246" s="3"/>
    </row>
    <row r="247" spans="5:23" s="2" customFormat="1" x14ac:dyDescent="0.25">
      <c r="E247" s="4"/>
      <c r="G247" s="3"/>
      <c r="I247" s="4"/>
      <c r="K247" s="3"/>
      <c r="M247" s="4"/>
      <c r="O247" s="3"/>
      <c r="Q247" s="4"/>
      <c r="S247" s="3"/>
      <c r="U247" s="4"/>
      <c r="W247" s="3"/>
    </row>
    <row r="248" spans="5:23" s="2" customFormat="1" x14ac:dyDescent="0.25">
      <c r="E248" s="4"/>
      <c r="G248" s="3"/>
      <c r="I248" s="4"/>
      <c r="K248" s="3"/>
      <c r="M248" s="4"/>
      <c r="O248" s="3"/>
      <c r="Q248" s="4"/>
      <c r="S248" s="3"/>
      <c r="U248" s="4"/>
      <c r="W248" s="3"/>
    </row>
    <row r="249" spans="5:23" s="2" customFormat="1" x14ac:dyDescent="0.25">
      <c r="E249" s="4"/>
      <c r="G249" s="3"/>
      <c r="I249" s="4"/>
      <c r="K249" s="3"/>
      <c r="M249" s="4"/>
      <c r="O249" s="3"/>
      <c r="Q249" s="4"/>
      <c r="S249" s="3"/>
      <c r="U249" s="4"/>
      <c r="W249" s="3"/>
    </row>
    <row r="250" spans="5:23" s="2" customFormat="1" x14ac:dyDescent="0.25">
      <c r="E250" s="4"/>
      <c r="G250" s="3"/>
      <c r="I250" s="4"/>
      <c r="K250" s="3"/>
      <c r="M250" s="4"/>
      <c r="O250" s="3"/>
      <c r="Q250" s="4"/>
      <c r="S250" s="3"/>
      <c r="U250" s="4"/>
      <c r="W250" s="3"/>
    </row>
    <row r="251" spans="5:23" s="2" customFormat="1" x14ac:dyDescent="0.25">
      <c r="E251" s="4"/>
      <c r="G251" s="3"/>
      <c r="I251" s="4"/>
      <c r="K251" s="3"/>
      <c r="M251" s="4"/>
      <c r="O251" s="3"/>
      <c r="Q251" s="4"/>
      <c r="S251" s="3"/>
      <c r="U251" s="4"/>
      <c r="W251" s="3"/>
    </row>
    <row r="252" spans="5:23" s="2" customFormat="1" x14ac:dyDescent="0.25">
      <c r="E252" s="4"/>
      <c r="G252" s="3"/>
      <c r="I252" s="4"/>
      <c r="K252" s="3"/>
      <c r="M252" s="4"/>
      <c r="O252" s="3"/>
      <c r="Q252" s="4"/>
      <c r="S252" s="3"/>
      <c r="U252" s="4"/>
      <c r="W252" s="3"/>
    </row>
    <row r="253" spans="5:23" s="2" customFormat="1" x14ac:dyDescent="0.25">
      <c r="E253" s="4"/>
      <c r="G253" s="3"/>
      <c r="I253" s="4"/>
      <c r="K253" s="3"/>
      <c r="M253" s="4"/>
      <c r="O253" s="3"/>
      <c r="Q253" s="4"/>
      <c r="S253" s="3"/>
      <c r="U253" s="4"/>
      <c r="W253" s="3"/>
    </row>
    <row r="254" spans="5:23" s="2" customFormat="1" x14ac:dyDescent="0.25">
      <c r="E254" s="4"/>
      <c r="G254" s="3"/>
      <c r="I254" s="4"/>
      <c r="K254" s="3"/>
      <c r="M254" s="4"/>
      <c r="O254" s="3"/>
      <c r="Q254" s="4"/>
      <c r="S254" s="3"/>
      <c r="U254" s="4"/>
      <c r="W254" s="3"/>
    </row>
    <row r="255" spans="5:23" s="2" customFormat="1" x14ac:dyDescent="0.25">
      <c r="E255" s="4"/>
      <c r="G255" s="3"/>
      <c r="I255" s="4"/>
      <c r="K255" s="3"/>
      <c r="M255" s="4"/>
      <c r="O255" s="3"/>
      <c r="Q255" s="4"/>
      <c r="S255" s="3"/>
      <c r="U255" s="4"/>
      <c r="W255" s="3"/>
    </row>
    <row r="256" spans="5:23" s="2" customFormat="1" x14ac:dyDescent="0.25">
      <c r="E256" s="4"/>
      <c r="G256" s="3"/>
      <c r="I256" s="4"/>
      <c r="K256" s="3"/>
      <c r="M256" s="4"/>
      <c r="O256" s="3"/>
      <c r="Q256" s="4"/>
      <c r="S256" s="3"/>
      <c r="U256" s="4"/>
      <c r="W256" s="3"/>
    </row>
    <row r="257" spans="5:23" s="2" customFormat="1" x14ac:dyDescent="0.25">
      <c r="E257" s="4"/>
      <c r="G257" s="3"/>
      <c r="I257" s="4"/>
      <c r="K257" s="3"/>
      <c r="M257" s="4"/>
      <c r="O257" s="3"/>
      <c r="Q257" s="4"/>
      <c r="S257" s="3"/>
      <c r="U257" s="4"/>
      <c r="W257" s="3"/>
    </row>
    <row r="258" spans="5:23" s="2" customFormat="1" x14ac:dyDescent="0.25">
      <c r="E258" s="4"/>
      <c r="G258" s="3"/>
      <c r="I258" s="4"/>
      <c r="K258" s="3"/>
      <c r="M258" s="4"/>
      <c r="O258" s="3"/>
      <c r="Q258" s="4"/>
      <c r="S258" s="3"/>
      <c r="U258" s="4"/>
      <c r="W258" s="3"/>
    </row>
    <row r="259" spans="5:23" s="2" customFormat="1" x14ac:dyDescent="0.25">
      <c r="E259" s="4"/>
      <c r="G259" s="3"/>
      <c r="I259" s="4"/>
      <c r="K259" s="3"/>
      <c r="M259" s="4"/>
      <c r="O259" s="3"/>
      <c r="Q259" s="4"/>
      <c r="S259" s="3"/>
      <c r="U259" s="4"/>
      <c r="W259" s="3"/>
    </row>
    <row r="260" spans="5:23" s="2" customFormat="1" x14ac:dyDescent="0.25">
      <c r="E260" s="4"/>
      <c r="G260" s="3"/>
      <c r="I260" s="4"/>
      <c r="K260" s="3"/>
      <c r="M260" s="4"/>
      <c r="O260" s="3"/>
      <c r="Q260" s="4"/>
      <c r="S260" s="3"/>
      <c r="U260" s="4"/>
      <c r="W260" s="3"/>
    </row>
    <row r="261" spans="5:23" s="2" customFormat="1" x14ac:dyDescent="0.25">
      <c r="E261" s="4"/>
      <c r="G261" s="3"/>
      <c r="I261" s="4"/>
      <c r="K261" s="3"/>
      <c r="M261" s="4"/>
      <c r="O261" s="3"/>
      <c r="Q261" s="4"/>
      <c r="S261" s="3"/>
      <c r="U261" s="4"/>
      <c r="W261" s="3"/>
    </row>
    <row r="262" spans="5:23" s="2" customFormat="1" x14ac:dyDescent="0.25">
      <c r="E262" s="4"/>
      <c r="G262" s="3"/>
      <c r="I262" s="4"/>
      <c r="K262" s="3"/>
      <c r="M262" s="4"/>
      <c r="O262" s="3"/>
      <c r="Q262" s="4"/>
      <c r="S262" s="3"/>
      <c r="U262" s="4"/>
      <c r="W262" s="3"/>
    </row>
    <row r="263" spans="5:23" s="2" customFormat="1" x14ac:dyDescent="0.25">
      <c r="E263" s="4"/>
      <c r="G263" s="3"/>
      <c r="I263" s="4"/>
      <c r="K263" s="3"/>
      <c r="M263" s="4"/>
      <c r="O263" s="3"/>
      <c r="Q263" s="4"/>
      <c r="S263" s="3"/>
      <c r="U263" s="4"/>
      <c r="W263" s="3"/>
    </row>
    <row r="264" spans="5:23" s="2" customFormat="1" x14ac:dyDescent="0.25">
      <c r="E264" s="4"/>
      <c r="G264" s="3"/>
      <c r="I264" s="4"/>
      <c r="K264" s="3"/>
      <c r="M264" s="4"/>
      <c r="O264" s="3"/>
      <c r="Q264" s="4"/>
      <c r="S264" s="3"/>
      <c r="U264" s="4"/>
      <c r="W264" s="3"/>
    </row>
    <row r="265" spans="5:23" s="2" customFormat="1" x14ac:dyDescent="0.25">
      <c r="E265" s="4"/>
      <c r="G265" s="3"/>
      <c r="I265" s="4"/>
      <c r="K265" s="3"/>
      <c r="M265" s="4"/>
      <c r="O265" s="3"/>
      <c r="Q265" s="4"/>
      <c r="S265" s="3"/>
      <c r="U265" s="4"/>
      <c r="W265" s="3"/>
    </row>
    <row r="266" spans="5:23" s="2" customFormat="1" x14ac:dyDescent="0.25">
      <c r="E266" s="4"/>
      <c r="G266" s="3"/>
      <c r="I266" s="4"/>
      <c r="K266" s="3"/>
      <c r="M266" s="4"/>
      <c r="O266" s="3"/>
      <c r="Q266" s="4"/>
      <c r="S266" s="3"/>
      <c r="U266" s="4"/>
      <c r="W266" s="3"/>
    </row>
    <row r="267" spans="5:23" s="2" customFormat="1" x14ac:dyDescent="0.25">
      <c r="E267" s="4"/>
      <c r="G267" s="3"/>
      <c r="I267" s="4"/>
      <c r="K267" s="3"/>
      <c r="M267" s="4"/>
      <c r="O267" s="3"/>
      <c r="Q267" s="4"/>
      <c r="S267" s="3"/>
      <c r="U267" s="4"/>
      <c r="W267" s="3"/>
    </row>
    <row r="268" spans="5:23" s="2" customFormat="1" x14ac:dyDescent="0.25">
      <c r="E268" s="4"/>
      <c r="G268" s="3"/>
      <c r="I268" s="4"/>
      <c r="K268" s="3"/>
      <c r="M268" s="4"/>
      <c r="O268" s="3"/>
      <c r="Q268" s="4"/>
      <c r="S268" s="3"/>
      <c r="U268" s="4"/>
      <c r="W268" s="3"/>
    </row>
  </sheetData>
  <mergeCells count="6">
    <mergeCell ref="T5:W5"/>
    <mergeCell ref="B2:C3"/>
    <mergeCell ref="D5:G5"/>
    <mergeCell ref="H5:K5"/>
    <mergeCell ref="L5:O5"/>
    <mergeCell ref="P5:S5"/>
  </mergeCells>
  <pageMargins left="0.7" right="0.7" top="0.75" bottom="0.75" header="0.3" footer="0.3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AFF5-00D0-406F-B919-B26D3DA0CCE6}">
  <dimension ref="A1:M60"/>
  <sheetViews>
    <sheetView workbookViewId="0">
      <selection activeCell="A13" sqref="A13"/>
    </sheetView>
  </sheetViews>
  <sheetFormatPr baseColWidth="10" defaultRowHeight="15" x14ac:dyDescent="0.25"/>
  <cols>
    <col min="1" max="1" width="51.5703125" bestFit="1" customWidth="1"/>
    <col min="2" max="5" width="11.140625" bestFit="1" customWidth="1"/>
    <col min="6" max="6" width="30.85546875" bestFit="1" customWidth="1"/>
    <col min="7" max="8" width="11.140625" bestFit="1" customWidth="1"/>
    <col min="9" max="9" width="37.7109375" bestFit="1" customWidth="1"/>
    <col min="10" max="10" width="12.140625" bestFit="1" customWidth="1"/>
    <col min="11" max="11" width="25.28515625" bestFit="1" customWidth="1"/>
    <col min="12" max="12" width="24.7109375" bestFit="1" customWidth="1"/>
    <col min="13" max="13" width="29.42578125" bestFit="1" customWidth="1"/>
  </cols>
  <sheetData>
    <row r="1" spans="1:13" x14ac:dyDescent="0.25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237</v>
      </c>
      <c r="K1" t="s">
        <v>238</v>
      </c>
      <c r="L1" t="s">
        <v>239</v>
      </c>
      <c r="M1" t="s">
        <v>246</v>
      </c>
    </row>
    <row r="2" spans="1:13" x14ac:dyDescent="0.25">
      <c r="C2" t="s">
        <v>99</v>
      </c>
      <c r="D2">
        <v>3111</v>
      </c>
      <c r="E2">
        <v>4213</v>
      </c>
      <c r="M2" t="str">
        <f>IF(AND(A2&lt;&gt;"",LEFT(A2,3)&lt;&gt;"AV."),A2,M1)</f>
        <v>Column13</v>
      </c>
    </row>
    <row r="3" spans="1:13" x14ac:dyDescent="0.25">
      <c r="A3" t="s">
        <v>124</v>
      </c>
      <c r="C3" t="s">
        <v>88</v>
      </c>
      <c r="D3">
        <v>4141</v>
      </c>
      <c r="E3">
        <v>4785</v>
      </c>
      <c r="G3">
        <v>644</v>
      </c>
      <c r="H3">
        <v>0</v>
      </c>
      <c r="J3">
        <v>0</v>
      </c>
      <c r="K3" t="s">
        <v>90</v>
      </c>
      <c r="L3" t="s">
        <v>138</v>
      </c>
      <c r="M3" t="str">
        <f>IF(AND(A3&lt;&gt;"",LEFT(A3,3)&lt;&gt;"AV."),A3,M2)</f>
        <v>XBJZ021745 - WF-C5890 - Bolsa 3</v>
      </c>
    </row>
    <row r="4" spans="1:13" x14ac:dyDescent="0.25">
      <c r="A4" t="s">
        <v>91</v>
      </c>
      <c r="C4" t="s">
        <v>92</v>
      </c>
      <c r="D4">
        <v>0</v>
      </c>
      <c r="E4">
        <v>0</v>
      </c>
      <c r="G4">
        <v>0</v>
      </c>
      <c r="H4">
        <v>0</v>
      </c>
      <c r="J4">
        <v>0</v>
      </c>
      <c r="K4" t="s">
        <v>93</v>
      </c>
      <c r="L4" t="s">
        <v>138</v>
      </c>
      <c r="M4" t="str">
        <f t="shared" ref="M4:M33" si="0">IF(AND(A4&lt;&gt;"",LEFT(A4,3)&lt;&gt;"AV."),A4,M3)</f>
        <v>XBJZ021745 - WF-C5890 - Bolsa 3</v>
      </c>
    </row>
    <row r="5" spans="1:13" x14ac:dyDescent="0.25">
      <c r="A5" t="s">
        <v>94</v>
      </c>
      <c r="C5" t="s">
        <v>95</v>
      </c>
      <c r="D5">
        <v>23586</v>
      </c>
      <c r="E5">
        <v>27528</v>
      </c>
      <c r="G5">
        <v>3942</v>
      </c>
      <c r="H5">
        <v>0</v>
      </c>
      <c r="J5">
        <v>0</v>
      </c>
      <c r="K5" t="s">
        <v>96</v>
      </c>
      <c r="L5" t="s">
        <v>138</v>
      </c>
      <c r="M5" t="str">
        <f t="shared" si="0"/>
        <v>XBJZ021745 - WF-C5890 - Bolsa 3</v>
      </c>
    </row>
    <row r="6" spans="1:13" x14ac:dyDescent="0.25">
      <c r="C6" t="s">
        <v>97</v>
      </c>
      <c r="D6">
        <v>0</v>
      </c>
      <c r="E6">
        <v>0</v>
      </c>
      <c r="G6">
        <v>0</v>
      </c>
      <c r="H6">
        <v>0</v>
      </c>
      <c r="J6">
        <v>0</v>
      </c>
      <c r="K6" t="s">
        <v>98</v>
      </c>
      <c r="L6" t="s">
        <v>138</v>
      </c>
      <c r="M6" t="str">
        <f t="shared" si="0"/>
        <v>XBJZ021745 - WF-C5890 - Bolsa 3</v>
      </c>
    </row>
    <row r="7" spans="1:13" x14ac:dyDescent="0.25">
      <c r="C7" t="s">
        <v>99</v>
      </c>
      <c r="D7">
        <v>27727</v>
      </c>
      <c r="E7">
        <v>32313</v>
      </c>
      <c r="K7" t="s">
        <v>94</v>
      </c>
      <c r="L7" t="s">
        <v>94</v>
      </c>
      <c r="M7" t="str">
        <f t="shared" si="0"/>
        <v>XBJZ021745 - WF-C5890 - Bolsa 3</v>
      </c>
    </row>
    <row r="8" spans="1:13" x14ac:dyDescent="0.25">
      <c r="A8" t="s">
        <v>125</v>
      </c>
      <c r="C8" t="s">
        <v>88</v>
      </c>
      <c r="D8">
        <v>3883</v>
      </c>
      <c r="E8">
        <v>5188</v>
      </c>
      <c r="G8">
        <v>1305</v>
      </c>
      <c r="H8">
        <v>0</v>
      </c>
      <c r="J8">
        <v>0</v>
      </c>
      <c r="K8" t="s">
        <v>90</v>
      </c>
      <c r="L8" t="s">
        <v>138</v>
      </c>
      <c r="M8" t="str">
        <f t="shared" si="0"/>
        <v>XBJZ027512 - WF-C5890 - Bolsa 3</v>
      </c>
    </row>
    <row r="9" spans="1:13" x14ac:dyDescent="0.25">
      <c r="A9" t="s">
        <v>91</v>
      </c>
      <c r="C9" t="s">
        <v>92</v>
      </c>
      <c r="D9">
        <v>0</v>
      </c>
      <c r="E9">
        <v>0</v>
      </c>
      <c r="G9">
        <v>0</v>
      </c>
      <c r="H9">
        <v>0</v>
      </c>
      <c r="J9">
        <v>0</v>
      </c>
      <c r="K9" t="s">
        <v>93</v>
      </c>
      <c r="L9" t="s">
        <v>138</v>
      </c>
      <c r="M9" t="str">
        <f t="shared" si="0"/>
        <v>XBJZ027512 - WF-C5890 - Bolsa 3</v>
      </c>
    </row>
    <row r="10" spans="1:13" x14ac:dyDescent="0.25">
      <c r="A10" t="s">
        <v>94</v>
      </c>
      <c r="C10" t="s">
        <v>95</v>
      </c>
      <c r="D10">
        <v>11370</v>
      </c>
      <c r="E10">
        <v>15352</v>
      </c>
      <c r="G10">
        <v>3982</v>
      </c>
      <c r="H10">
        <v>0</v>
      </c>
      <c r="J10">
        <v>0</v>
      </c>
      <c r="K10" t="s">
        <v>96</v>
      </c>
      <c r="L10" t="s">
        <v>138</v>
      </c>
      <c r="M10" t="str">
        <f t="shared" si="0"/>
        <v>XBJZ027512 - WF-C5890 - Bolsa 3</v>
      </c>
    </row>
    <row r="11" spans="1:13" x14ac:dyDescent="0.25">
      <c r="C11" t="s">
        <v>97</v>
      </c>
      <c r="D11">
        <v>0</v>
      </c>
      <c r="E11">
        <v>0</v>
      </c>
      <c r="G11">
        <v>0</v>
      </c>
      <c r="H11">
        <v>0</v>
      </c>
      <c r="J11">
        <v>0</v>
      </c>
      <c r="K11" t="s">
        <v>98</v>
      </c>
      <c r="L11" t="s">
        <v>138</v>
      </c>
      <c r="M11" t="str">
        <f t="shared" si="0"/>
        <v>XBJZ027512 - WF-C5890 - Bolsa 3</v>
      </c>
    </row>
    <row r="12" spans="1:13" x14ac:dyDescent="0.25">
      <c r="C12" t="s">
        <v>99</v>
      </c>
      <c r="D12">
        <v>15253</v>
      </c>
      <c r="E12">
        <v>20540</v>
      </c>
      <c r="K12" t="s">
        <v>94</v>
      </c>
      <c r="L12" t="s">
        <v>94</v>
      </c>
      <c r="M12" t="str">
        <f t="shared" si="0"/>
        <v>XBJZ027512 - WF-C5890 - Bolsa 3</v>
      </c>
    </row>
    <row r="13" spans="1:13" x14ac:dyDescent="0.25">
      <c r="A13" t="s">
        <v>126</v>
      </c>
      <c r="C13" t="s">
        <v>88</v>
      </c>
      <c r="D13">
        <v>5</v>
      </c>
      <c r="E13">
        <v>3848</v>
      </c>
      <c r="G13">
        <v>3843</v>
      </c>
      <c r="H13">
        <v>0</v>
      </c>
      <c r="J13">
        <v>0</v>
      </c>
      <c r="K13" t="s">
        <v>90</v>
      </c>
      <c r="L13" t="s">
        <v>138</v>
      </c>
      <c r="M13" t="str">
        <f t="shared" si="0"/>
        <v>35009304 - MX-3070 - Bolsa 4</v>
      </c>
    </row>
    <row r="14" spans="1:13" x14ac:dyDescent="0.25">
      <c r="A14" t="s">
        <v>94</v>
      </c>
      <c r="C14" t="s">
        <v>92</v>
      </c>
      <c r="D14">
        <v>0</v>
      </c>
      <c r="E14">
        <v>0</v>
      </c>
      <c r="G14">
        <v>0</v>
      </c>
      <c r="H14">
        <v>0</v>
      </c>
      <c r="J14">
        <v>0</v>
      </c>
      <c r="K14" t="s">
        <v>93</v>
      </c>
      <c r="L14" t="s">
        <v>138</v>
      </c>
      <c r="M14" t="str">
        <f t="shared" si="0"/>
        <v>35009304 - MX-3070 - Bolsa 4</v>
      </c>
    </row>
    <row r="15" spans="1:13" x14ac:dyDescent="0.25">
      <c r="A15" t="s">
        <v>94</v>
      </c>
      <c r="C15" t="s">
        <v>95</v>
      </c>
      <c r="D15">
        <v>31</v>
      </c>
      <c r="E15">
        <v>340</v>
      </c>
      <c r="G15">
        <v>309</v>
      </c>
      <c r="H15">
        <v>0</v>
      </c>
      <c r="J15">
        <v>0</v>
      </c>
      <c r="K15" t="s">
        <v>96</v>
      </c>
      <c r="L15" t="s">
        <v>138</v>
      </c>
      <c r="M15" t="str">
        <f t="shared" si="0"/>
        <v>35009304 - MX-3070 - Bolsa 4</v>
      </c>
    </row>
    <row r="16" spans="1:13" x14ac:dyDescent="0.25">
      <c r="C16" t="s">
        <v>97</v>
      </c>
      <c r="D16">
        <v>0</v>
      </c>
      <c r="E16">
        <v>0</v>
      </c>
      <c r="G16">
        <v>0</v>
      </c>
      <c r="H16">
        <v>0</v>
      </c>
      <c r="J16">
        <v>0</v>
      </c>
      <c r="K16" t="s">
        <v>98</v>
      </c>
      <c r="L16" t="s">
        <v>138</v>
      </c>
      <c r="M16" t="str">
        <f t="shared" si="0"/>
        <v>35009304 - MX-3070 - Bolsa 4</v>
      </c>
    </row>
    <row r="17" spans="1:13" x14ac:dyDescent="0.25">
      <c r="C17" t="s">
        <v>99</v>
      </c>
      <c r="D17">
        <v>36</v>
      </c>
      <c r="E17">
        <v>4188</v>
      </c>
      <c r="K17" t="s">
        <v>94</v>
      </c>
      <c r="L17" t="s">
        <v>94</v>
      </c>
      <c r="M17" t="str">
        <f t="shared" si="0"/>
        <v>35009304 - MX-3070 - Bolsa 4</v>
      </c>
    </row>
    <row r="18" spans="1:13" x14ac:dyDescent="0.25">
      <c r="A18" t="s">
        <v>127</v>
      </c>
      <c r="C18" t="s">
        <v>88</v>
      </c>
      <c r="D18">
        <v>36</v>
      </c>
      <c r="E18">
        <v>23904</v>
      </c>
      <c r="G18">
        <v>23868</v>
      </c>
      <c r="H18">
        <v>0</v>
      </c>
      <c r="J18">
        <v>0</v>
      </c>
      <c r="K18" t="s">
        <v>90</v>
      </c>
      <c r="L18" t="s">
        <v>138</v>
      </c>
      <c r="M18" t="str">
        <f t="shared" si="0"/>
        <v>35E33608 - IR-1643 - Bolsa 1</v>
      </c>
    </row>
    <row r="19" spans="1:13" x14ac:dyDescent="0.25">
      <c r="A19" t="s">
        <v>128</v>
      </c>
      <c r="C19" t="s">
        <v>92</v>
      </c>
      <c r="D19">
        <v>0</v>
      </c>
      <c r="E19">
        <v>0</v>
      </c>
      <c r="G19">
        <v>0</v>
      </c>
      <c r="H19">
        <v>0</v>
      </c>
      <c r="J19">
        <v>0</v>
      </c>
      <c r="K19" t="s">
        <v>93</v>
      </c>
      <c r="L19" t="s">
        <v>138</v>
      </c>
      <c r="M19" t="str">
        <f t="shared" si="0"/>
        <v>35E33608 - IR-1643 - Bolsa 1</v>
      </c>
    </row>
    <row r="20" spans="1:13" x14ac:dyDescent="0.25">
      <c r="A20" t="s">
        <v>94</v>
      </c>
      <c r="C20" t="s">
        <v>95</v>
      </c>
      <c r="D20">
        <v>0</v>
      </c>
      <c r="E20">
        <v>0</v>
      </c>
      <c r="G20">
        <v>0</v>
      </c>
      <c r="H20">
        <v>0</v>
      </c>
      <c r="J20">
        <v>0</v>
      </c>
      <c r="K20" t="s">
        <v>96</v>
      </c>
      <c r="L20" t="s">
        <v>138</v>
      </c>
      <c r="M20" t="str">
        <f t="shared" si="0"/>
        <v>35E33608 - IR-1643 - Bolsa 1</v>
      </c>
    </row>
    <row r="21" spans="1:13" x14ac:dyDescent="0.25">
      <c r="C21" t="s">
        <v>97</v>
      </c>
      <c r="D21">
        <v>0</v>
      </c>
      <c r="E21">
        <v>0</v>
      </c>
      <c r="G21">
        <v>0</v>
      </c>
      <c r="H21">
        <v>0</v>
      </c>
      <c r="J21">
        <v>0</v>
      </c>
      <c r="K21" t="s">
        <v>98</v>
      </c>
      <c r="L21" t="s">
        <v>138</v>
      </c>
      <c r="M21" t="str">
        <f t="shared" si="0"/>
        <v>35E33608 - IR-1643 - Bolsa 1</v>
      </c>
    </row>
    <row r="22" spans="1:13" x14ac:dyDescent="0.25">
      <c r="C22" t="s">
        <v>99</v>
      </c>
      <c r="D22">
        <v>36</v>
      </c>
      <c r="E22">
        <v>23904</v>
      </c>
      <c r="K22" t="s">
        <v>94</v>
      </c>
      <c r="L22" t="s">
        <v>94</v>
      </c>
      <c r="M22" t="str">
        <f t="shared" si="0"/>
        <v>35E33608 - IR-1643 - Bolsa 1</v>
      </c>
    </row>
    <row r="23" spans="1:13" x14ac:dyDescent="0.25">
      <c r="A23" t="s">
        <v>129</v>
      </c>
      <c r="C23" t="s">
        <v>88</v>
      </c>
      <c r="D23">
        <v>6528</v>
      </c>
      <c r="E23">
        <v>14888</v>
      </c>
      <c r="G23">
        <v>8360</v>
      </c>
      <c r="H23">
        <v>0</v>
      </c>
      <c r="J23">
        <v>0</v>
      </c>
      <c r="K23" t="s">
        <v>90</v>
      </c>
      <c r="L23" t="s">
        <v>138</v>
      </c>
      <c r="M23" t="str">
        <f t="shared" si="0"/>
        <v>35E33607 - IR-1643 - Bolsa 1</v>
      </c>
    </row>
    <row r="24" spans="1:13" x14ac:dyDescent="0.25">
      <c r="A24" t="s">
        <v>101</v>
      </c>
      <c r="C24" t="s">
        <v>92</v>
      </c>
      <c r="D24">
        <v>0</v>
      </c>
      <c r="E24">
        <v>0</v>
      </c>
      <c r="G24">
        <v>0</v>
      </c>
      <c r="H24">
        <v>0</v>
      </c>
      <c r="J24">
        <v>0</v>
      </c>
      <c r="K24" t="s">
        <v>93</v>
      </c>
      <c r="L24" t="s">
        <v>138</v>
      </c>
      <c r="M24" t="str">
        <f t="shared" si="0"/>
        <v>35E33607 - IR-1643 - Bolsa 1</v>
      </c>
    </row>
    <row r="25" spans="1:13" x14ac:dyDescent="0.25">
      <c r="A25" t="s">
        <v>94</v>
      </c>
      <c r="C25" t="s">
        <v>95</v>
      </c>
      <c r="D25">
        <v>0</v>
      </c>
      <c r="E25">
        <v>0</v>
      </c>
      <c r="G25">
        <v>0</v>
      </c>
      <c r="H25">
        <v>0</v>
      </c>
      <c r="J25">
        <v>0</v>
      </c>
      <c r="K25" t="s">
        <v>96</v>
      </c>
      <c r="L25" t="s">
        <v>138</v>
      </c>
      <c r="M25" t="str">
        <f t="shared" si="0"/>
        <v>35E33607 - IR-1643 - Bolsa 1</v>
      </c>
    </row>
    <row r="26" spans="1:13" x14ac:dyDescent="0.25">
      <c r="C26" t="s">
        <v>97</v>
      </c>
      <c r="D26">
        <v>0</v>
      </c>
      <c r="E26">
        <v>0</v>
      </c>
      <c r="G26">
        <v>0</v>
      </c>
      <c r="H26">
        <v>0</v>
      </c>
      <c r="J26">
        <v>0</v>
      </c>
      <c r="K26" t="s">
        <v>98</v>
      </c>
      <c r="L26" t="s">
        <v>138</v>
      </c>
      <c r="M26" t="str">
        <f t="shared" si="0"/>
        <v>35E33607 - IR-1643 - Bolsa 1</v>
      </c>
    </row>
    <row r="27" spans="1:13" x14ac:dyDescent="0.25">
      <c r="C27" t="s">
        <v>99</v>
      </c>
      <c r="D27">
        <v>6528</v>
      </c>
      <c r="E27">
        <v>14888</v>
      </c>
      <c r="K27" t="s">
        <v>94</v>
      </c>
      <c r="L27" t="s">
        <v>94</v>
      </c>
      <c r="M27" t="str">
        <f t="shared" si="0"/>
        <v>35E33607 - IR-1643 - Bolsa 1</v>
      </c>
    </row>
    <row r="28" spans="1:13" x14ac:dyDescent="0.25">
      <c r="A28" t="s">
        <v>130</v>
      </c>
      <c r="C28" s="104" t="s">
        <v>88</v>
      </c>
      <c r="D28" s="104">
        <v>130708</v>
      </c>
      <c r="E28">
        <v>131063</v>
      </c>
      <c r="G28">
        <v>355</v>
      </c>
      <c r="H28">
        <v>0</v>
      </c>
      <c r="J28">
        <v>0</v>
      </c>
      <c r="K28" t="s">
        <v>90</v>
      </c>
      <c r="L28" t="s">
        <v>138</v>
      </c>
      <c r="M28" t="str">
        <f t="shared" si="0"/>
        <v>RJQ00596 - IR-C3330 - Bolsa 5</v>
      </c>
    </row>
    <row r="29" spans="1:13" x14ac:dyDescent="0.25">
      <c r="A29" t="s">
        <v>91</v>
      </c>
      <c r="C29" t="s">
        <v>92</v>
      </c>
      <c r="D29">
        <v>6966</v>
      </c>
      <c r="E29">
        <v>6966</v>
      </c>
      <c r="G29">
        <v>0</v>
      </c>
      <c r="H29">
        <v>0</v>
      </c>
      <c r="J29">
        <v>0</v>
      </c>
      <c r="K29" t="s">
        <v>93</v>
      </c>
      <c r="L29" t="s">
        <v>138</v>
      </c>
      <c r="M29" t="str">
        <f t="shared" si="0"/>
        <v>RJQ00596 - IR-C3330 - Bolsa 5</v>
      </c>
    </row>
    <row r="30" spans="1:13" x14ac:dyDescent="0.25">
      <c r="A30" t="s">
        <v>94</v>
      </c>
      <c r="C30" t="s">
        <v>95</v>
      </c>
      <c r="D30">
        <v>187880</v>
      </c>
      <c r="E30">
        <v>188332</v>
      </c>
      <c r="G30">
        <v>452</v>
      </c>
      <c r="H30">
        <v>0</v>
      </c>
      <c r="J30">
        <v>0</v>
      </c>
      <c r="K30" t="s">
        <v>96</v>
      </c>
      <c r="L30" t="s">
        <v>138</v>
      </c>
      <c r="M30" t="str">
        <f t="shared" si="0"/>
        <v>RJQ00596 - IR-C3330 - Bolsa 5</v>
      </c>
    </row>
    <row r="31" spans="1:13" x14ac:dyDescent="0.25">
      <c r="C31" t="s">
        <v>97</v>
      </c>
      <c r="D31">
        <v>6966</v>
      </c>
      <c r="E31">
        <v>6970</v>
      </c>
      <c r="G31">
        <v>4</v>
      </c>
      <c r="H31">
        <v>0</v>
      </c>
      <c r="J31">
        <v>0</v>
      </c>
      <c r="K31" t="s">
        <v>98</v>
      </c>
      <c r="L31" t="s">
        <v>138</v>
      </c>
      <c r="M31" t="str">
        <f t="shared" si="0"/>
        <v>RJQ00596 - IR-C3330 - Bolsa 5</v>
      </c>
    </row>
    <row r="32" spans="1:13" x14ac:dyDescent="0.25">
      <c r="C32" t="s">
        <v>99</v>
      </c>
      <c r="D32">
        <v>332520</v>
      </c>
      <c r="E32">
        <v>333331</v>
      </c>
      <c r="K32" t="s">
        <v>94</v>
      </c>
      <c r="L32" t="s">
        <v>94</v>
      </c>
      <c r="M32" t="str">
        <f t="shared" si="0"/>
        <v>RJQ00596 - IR-C3330 - Bolsa 5</v>
      </c>
    </row>
    <row r="33" spans="1:13" x14ac:dyDescent="0.25">
      <c r="A33" t="s">
        <v>131</v>
      </c>
      <c r="C33" t="s">
        <v>84</v>
      </c>
      <c r="F33" t="s">
        <v>132</v>
      </c>
      <c r="I33" t="s">
        <v>133</v>
      </c>
      <c r="K33" t="s">
        <v>134</v>
      </c>
      <c r="L33" t="s">
        <v>85</v>
      </c>
      <c r="M33" t="str">
        <f t="shared" si="0"/>
        <v>BOLSA N° #1</v>
      </c>
    </row>
    <row r="34" spans="1:13" x14ac:dyDescent="0.25">
      <c r="A34" t="s">
        <v>94</v>
      </c>
      <c r="C34" t="s">
        <v>88</v>
      </c>
      <c r="D34">
        <v>43216</v>
      </c>
      <c r="F34" t="s">
        <v>135</v>
      </c>
      <c r="I34" t="s">
        <v>136</v>
      </c>
      <c r="K34" t="s">
        <v>90</v>
      </c>
      <c r="L34" t="s">
        <v>137</v>
      </c>
      <c r="M34" t="str">
        <f t="shared" ref="M34:M60" si="1">IF(AND(A34&lt;&gt;"",LEFT(A34,3)&lt;&gt;"AV."),A34,M33)</f>
        <v>BOLSA N° #1</v>
      </c>
    </row>
    <row r="35" spans="1:13" x14ac:dyDescent="0.25">
      <c r="C35" t="s">
        <v>92</v>
      </c>
      <c r="D35">
        <v>0</v>
      </c>
      <c r="F35" t="s">
        <v>89</v>
      </c>
      <c r="I35" t="s">
        <v>89</v>
      </c>
      <c r="K35" t="s">
        <v>93</v>
      </c>
      <c r="L35" t="s">
        <v>138</v>
      </c>
      <c r="M35" t="str">
        <f t="shared" si="1"/>
        <v>BOLSA N° #1</v>
      </c>
    </row>
    <row r="36" spans="1:13" x14ac:dyDescent="0.25">
      <c r="C36" t="s">
        <v>95</v>
      </c>
      <c r="D36">
        <v>0</v>
      </c>
      <c r="F36" t="s">
        <v>89</v>
      </c>
      <c r="I36" t="s">
        <v>89</v>
      </c>
      <c r="K36" t="s">
        <v>96</v>
      </c>
      <c r="L36" t="s">
        <v>138</v>
      </c>
      <c r="M36" t="str">
        <f t="shared" si="1"/>
        <v>BOLSA N° #1</v>
      </c>
    </row>
    <row r="37" spans="1:13" x14ac:dyDescent="0.25">
      <c r="C37" t="s">
        <v>97</v>
      </c>
      <c r="D37">
        <v>0</v>
      </c>
      <c r="F37" t="s">
        <v>89</v>
      </c>
      <c r="I37" t="s">
        <v>89</v>
      </c>
      <c r="K37" t="s">
        <v>98</v>
      </c>
      <c r="L37" t="s">
        <v>138</v>
      </c>
      <c r="M37" t="str">
        <f t="shared" si="1"/>
        <v>BOLSA N° #1</v>
      </c>
    </row>
    <row r="38" spans="1:13" x14ac:dyDescent="0.25">
      <c r="A38" t="s">
        <v>139</v>
      </c>
      <c r="C38" t="s">
        <v>84</v>
      </c>
      <c r="F38" t="s">
        <v>132</v>
      </c>
      <c r="I38" t="s">
        <v>133</v>
      </c>
      <c r="K38" t="s">
        <v>134</v>
      </c>
      <c r="L38" t="s">
        <v>85</v>
      </c>
      <c r="M38" t="str">
        <f t="shared" si="1"/>
        <v>BOLSA N° #2</v>
      </c>
    </row>
    <row r="39" spans="1:13" x14ac:dyDescent="0.25">
      <c r="A39" t="s">
        <v>94</v>
      </c>
      <c r="C39" t="s">
        <v>88</v>
      </c>
      <c r="D39">
        <v>9567</v>
      </c>
      <c r="F39" t="s">
        <v>140</v>
      </c>
      <c r="I39" t="s">
        <v>141</v>
      </c>
      <c r="K39" t="s">
        <v>90</v>
      </c>
      <c r="L39" t="s">
        <v>142</v>
      </c>
      <c r="M39" t="str">
        <f t="shared" si="1"/>
        <v>BOLSA N° #2</v>
      </c>
    </row>
    <row r="40" spans="1:13" x14ac:dyDescent="0.25">
      <c r="C40" t="s">
        <v>92</v>
      </c>
      <c r="D40">
        <v>0</v>
      </c>
      <c r="F40" t="s">
        <v>89</v>
      </c>
      <c r="I40" t="s">
        <v>89</v>
      </c>
      <c r="K40" t="s">
        <v>93</v>
      </c>
      <c r="L40" t="s">
        <v>138</v>
      </c>
      <c r="M40" t="str">
        <f t="shared" si="1"/>
        <v>BOLSA N° #2</v>
      </c>
    </row>
    <row r="41" spans="1:13" x14ac:dyDescent="0.25">
      <c r="C41" t="s">
        <v>95</v>
      </c>
      <c r="D41">
        <v>9450</v>
      </c>
      <c r="F41" t="s">
        <v>143</v>
      </c>
      <c r="I41" t="s">
        <v>144</v>
      </c>
      <c r="K41" t="s">
        <v>96</v>
      </c>
      <c r="L41" t="s">
        <v>145</v>
      </c>
      <c r="M41" t="str">
        <f t="shared" si="1"/>
        <v>BOLSA N° #2</v>
      </c>
    </row>
    <row r="42" spans="1:13" x14ac:dyDescent="0.25">
      <c r="C42" t="s">
        <v>97</v>
      </c>
      <c r="D42">
        <v>0</v>
      </c>
      <c r="F42" t="s">
        <v>89</v>
      </c>
      <c r="I42" t="s">
        <v>89</v>
      </c>
      <c r="K42" t="s">
        <v>98</v>
      </c>
      <c r="L42" t="s">
        <v>138</v>
      </c>
      <c r="M42" t="str">
        <f t="shared" si="1"/>
        <v>BOLSA N° #2</v>
      </c>
    </row>
    <row r="43" spans="1:13" x14ac:dyDescent="0.25">
      <c r="A43" t="s">
        <v>146</v>
      </c>
      <c r="C43" t="s">
        <v>84</v>
      </c>
      <c r="F43" t="s">
        <v>132</v>
      </c>
      <c r="I43" t="s">
        <v>133</v>
      </c>
      <c r="K43" t="s">
        <v>134</v>
      </c>
      <c r="L43" t="s">
        <v>85</v>
      </c>
      <c r="M43" t="str">
        <f t="shared" si="1"/>
        <v>BOLSA N° #3</v>
      </c>
    </row>
    <row r="44" spans="1:13" x14ac:dyDescent="0.25">
      <c r="A44" t="s">
        <v>94</v>
      </c>
      <c r="C44" t="s">
        <v>88</v>
      </c>
      <c r="D44">
        <v>4130</v>
      </c>
      <c r="F44" t="s">
        <v>147</v>
      </c>
      <c r="I44" t="s">
        <v>148</v>
      </c>
      <c r="K44" t="s">
        <v>90</v>
      </c>
      <c r="L44" t="s">
        <v>149</v>
      </c>
      <c r="M44" t="str">
        <f t="shared" si="1"/>
        <v>BOLSA N° #3</v>
      </c>
    </row>
    <row r="45" spans="1:13" x14ac:dyDescent="0.25">
      <c r="C45" t="s">
        <v>92</v>
      </c>
      <c r="D45">
        <v>0</v>
      </c>
      <c r="F45" t="s">
        <v>89</v>
      </c>
      <c r="I45" t="s">
        <v>89</v>
      </c>
      <c r="K45" t="s">
        <v>93</v>
      </c>
      <c r="L45" t="s">
        <v>138</v>
      </c>
      <c r="M45" t="str">
        <f t="shared" si="1"/>
        <v>BOLSA N° #3</v>
      </c>
    </row>
    <row r="46" spans="1:13" x14ac:dyDescent="0.25">
      <c r="C46" t="s">
        <v>95</v>
      </c>
      <c r="D46">
        <v>14794</v>
      </c>
      <c r="F46" t="s">
        <v>150</v>
      </c>
      <c r="I46" t="s">
        <v>151</v>
      </c>
      <c r="K46" t="s">
        <v>96</v>
      </c>
      <c r="L46" t="s">
        <v>152</v>
      </c>
      <c r="M46" t="str">
        <f t="shared" si="1"/>
        <v>BOLSA N° #3</v>
      </c>
    </row>
    <row r="47" spans="1:13" x14ac:dyDescent="0.25">
      <c r="C47" t="s">
        <v>97</v>
      </c>
      <c r="D47">
        <v>0</v>
      </c>
      <c r="F47" t="s">
        <v>89</v>
      </c>
      <c r="I47" t="s">
        <v>89</v>
      </c>
      <c r="K47" t="s">
        <v>98</v>
      </c>
      <c r="L47" t="s">
        <v>138</v>
      </c>
      <c r="M47" t="str">
        <f t="shared" si="1"/>
        <v>BOLSA N° #3</v>
      </c>
    </row>
    <row r="48" spans="1:13" x14ac:dyDescent="0.25">
      <c r="A48" t="s">
        <v>153</v>
      </c>
      <c r="C48" t="s">
        <v>84</v>
      </c>
      <c r="F48" t="s">
        <v>132</v>
      </c>
      <c r="I48" t="s">
        <v>133</v>
      </c>
      <c r="K48" t="s">
        <v>134</v>
      </c>
      <c r="L48" t="s">
        <v>85</v>
      </c>
      <c r="M48" t="str">
        <f t="shared" si="1"/>
        <v>BOLSA N° #4</v>
      </c>
    </row>
    <row r="49" spans="1:13" x14ac:dyDescent="0.25">
      <c r="A49" t="s">
        <v>94</v>
      </c>
      <c r="C49" t="s">
        <v>88</v>
      </c>
      <c r="D49">
        <v>3843</v>
      </c>
      <c r="F49" t="s">
        <v>154</v>
      </c>
      <c r="I49" t="s">
        <v>155</v>
      </c>
      <c r="K49" t="s">
        <v>90</v>
      </c>
      <c r="L49" t="s">
        <v>156</v>
      </c>
      <c r="M49" t="str">
        <f t="shared" si="1"/>
        <v>BOLSA N° #4</v>
      </c>
    </row>
    <row r="50" spans="1:13" x14ac:dyDescent="0.25">
      <c r="C50" t="s">
        <v>92</v>
      </c>
      <c r="D50">
        <v>0</v>
      </c>
      <c r="F50" t="s">
        <v>89</v>
      </c>
      <c r="I50" t="s">
        <v>89</v>
      </c>
      <c r="K50" t="s">
        <v>93</v>
      </c>
      <c r="L50" t="s">
        <v>138</v>
      </c>
      <c r="M50" t="str">
        <f t="shared" si="1"/>
        <v>BOLSA N° #4</v>
      </c>
    </row>
    <row r="51" spans="1:13" x14ac:dyDescent="0.25">
      <c r="C51" t="s">
        <v>95</v>
      </c>
      <c r="D51">
        <v>309</v>
      </c>
      <c r="F51" t="s">
        <v>157</v>
      </c>
      <c r="I51" t="s">
        <v>89</v>
      </c>
      <c r="K51" t="s">
        <v>96</v>
      </c>
      <c r="L51" t="s">
        <v>138</v>
      </c>
      <c r="M51" t="str">
        <f t="shared" si="1"/>
        <v>BOLSA N° #4</v>
      </c>
    </row>
    <row r="52" spans="1:13" x14ac:dyDescent="0.25">
      <c r="C52" t="s">
        <v>97</v>
      </c>
      <c r="D52">
        <v>0</v>
      </c>
      <c r="F52" t="s">
        <v>89</v>
      </c>
      <c r="I52" t="s">
        <v>89</v>
      </c>
      <c r="K52" t="s">
        <v>98</v>
      </c>
      <c r="L52" t="s">
        <v>138</v>
      </c>
      <c r="M52" t="str">
        <f t="shared" si="1"/>
        <v>BOLSA N° #4</v>
      </c>
    </row>
    <row r="53" spans="1:13" x14ac:dyDescent="0.25">
      <c r="A53" t="s">
        <v>158</v>
      </c>
      <c r="C53" t="s">
        <v>84</v>
      </c>
      <c r="F53" t="s">
        <v>132</v>
      </c>
      <c r="I53" t="s">
        <v>133</v>
      </c>
      <c r="K53" t="s">
        <v>134</v>
      </c>
      <c r="L53" t="s">
        <v>85</v>
      </c>
      <c r="M53" t="str">
        <f t="shared" si="1"/>
        <v>BOLSA N° #5</v>
      </c>
    </row>
    <row r="54" spans="1:13" x14ac:dyDescent="0.25">
      <c r="A54" t="s">
        <v>94</v>
      </c>
      <c r="C54" t="s">
        <v>88</v>
      </c>
      <c r="D54">
        <v>355</v>
      </c>
      <c r="F54" t="s">
        <v>154</v>
      </c>
      <c r="I54" t="s">
        <v>159</v>
      </c>
      <c r="K54" t="s">
        <v>90</v>
      </c>
      <c r="L54" t="s">
        <v>160</v>
      </c>
      <c r="M54" t="str">
        <f t="shared" si="1"/>
        <v>BOLSA N° #5</v>
      </c>
    </row>
    <row r="55" spans="1:13" x14ac:dyDescent="0.25">
      <c r="C55" t="s">
        <v>92</v>
      </c>
      <c r="D55">
        <v>0</v>
      </c>
      <c r="F55" t="s">
        <v>89</v>
      </c>
      <c r="I55" t="s">
        <v>89</v>
      </c>
      <c r="K55" t="s">
        <v>93</v>
      </c>
      <c r="L55" t="s">
        <v>138</v>
      </c>
      <c r="M55" t="str">
        <f t="shared" si="1"/>
        <v>BOLSA N° #5</v>
      </c>
    </row>
    <row r="56" spans="1:13" x14ac:dyDescent="0.25">
      <c r="C56" t="s">
        <v>95</v>
      </c>
      <c r="D56">
        <v>452</v>
      </c>
      <c r="F56" t="s">
        <v>157</v>
      </c>
      <c r="I56" t="s">
        <v>89</v>
      </c>
      <c r="K56" t="s">
        <v>96</v>
      </c>
      <c r="L56" t="s">
        <v>138</v>
      </c>
      <c r="M56" t="str">
        <f t="shared" si="1"/>
        <v>BOLSA N° #5</v>
      </c>
    </row>
    <row r="57" spans="1:13" x14ac:dyDescent="0.25">
      <c r="C57" t="s">
        <v>97</v>
      </c>
      <c r="D57">
        <v>4</v>
      </c>
      <c r="F57" t="s">
        <v>89</v>
      </c>
      <c r="I57" t="s">
        <v>161</v>
      </c>
      <c r="K57" t="s">
        <v>98</v>
      </c>
      <c r="L57" t="s">
        <v>162</v>
      </c>
      <c r="M57" t="str">
        <f t="shared" si="1"/>
        <v>BOLSA N° #5</v>
      </c>
    </row>
    <row r="58" spans="1:13" x14ac:dyDescent="0.25">
      <c r="A58" t="s">
        <v>240</v>
      </c>
      <c r="B58" t="s">
        <v>241</v>
      </c>
      <c r="M58" t="str">
        <f t="shared" si="1"/>
        <v>TOTAL EXCEDENTES</v>
      </c>
    </row>
    <row r="59" spans="1:13" x14ac:dyDescent="0.25">
      <c r="A59" t="s">
        <v>242</v>
      </c>
      <c r="B59" t="s">
        <v>243</v>
      </c>
      <c r="M59" t="str">
        <f t="shared" si="1"/>
        <v>TOTAL RENTA MENSUAL</v>
      </c>
    </row>
    <row r="60" spans="1:13" x14ac:dyDescent="0.25">
      <c r="A60" t="s">
        <v>244</v>
      </c>
      <c r="B60" t="s">
        <v>245</v>
      </c>
      <c r="M60" t="str">
        <f t="shared" si="1"/>
        <v>TOTAL FACTURACIÓN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6CB3-0EC7-49BC-A384-2F590D038829}">
  <dimension ref="A1:J79"/>
  <sheetViews>
    <sheetView workbookViewId="0">
      <selection activeCell="A12" sqref="A12"/>
    </sheetView>
  </sheetViews>
  <sheetFormatPr baseColWidth="10" defaultRowHeight="15" x14ac:dyDescent="0.25"/>
  <cols>
    <col min="1" max="1" width="51.5703125" bestFit="1" customWidth="1"/>
    <col min="2" max="2" width="69.7109375" bestFit="1" customWidth="1"/>
    <col min="3" max="9" width="11.140625" bestFit="1" customWidth="1"/>
    <col min="10" max="10" width="43" bestFit="1" customWidth="1"/>
    <col min="14" max="14" width="11.85546875" bestFit="1" customWidth="1"/>
  </cols>
  <sheetData>
    <row r="1" spans="1:10" x14ac:dyDescent="0.25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237</v>
      </c>
    </row>
    <row r="2" spans="1:10" x14ac:dyDescent="0.25">
      <c r="A2" t="s">
        <v>233</v>
      </c>
      <c r="B2" t="s">
        <v>234</v>
      </c>
      <c r="J2" t="str">
        <f t="shared" ref="J2:J33" si="0">IF(AND(A2&lt;&gt;"",LEFT(A2,3)&lt;&gt;"AV."),A2,J1)</f>
        <v>[image]</v>
      </c>
    </row>
    <row r="3" spans="1:10" x14ac:dyDescent="0.25">
      <c r="A3" t="s">
        <v>235</v>
      </c>
      <c r="B3" t="s">
        <v>236</v>
      </c>
      <c r="J3" t="str">
        <f t="shared" si="0"/>
        <v>HOTELERA COSTA DEL PACIFICO S.A. -</v>
      </c>
    </row>
    <row r="4" spans="1:10" x14ac:dyDescent="0.25">
      <c r="A4" t="s">
        <v>83</v>
      </c>
      <c r="B4" t="s">
        <v>84</v>
      </c>
      <c r="J4" t="str">
        <f t="shared" si="0"/>
        <v>EQUIPO</v>
      </c>
    </row>
    <row r="5" spans="1:10" x14ac:dyDescent="0.25">
      <c r="A5" t="s">
        <v>86</v>
      </c>
      <c r="J5" t="str">
        <f t="shared" si="0"/>
        <v>GRUPO: SIN BOLSA SEGUN CONTRATO VIGENTE</v>
      </c>
    </row>
    <row r="6" spans="1:10" x14ac:dyDescent="0.25">
      <c r="A6" t="s">
        <v>87</v>
      </c>
      <c r="B6" t="s">
        <v>88</v>
      </c>
      <c r="C6">
        <v>13075</v>
      </c>
      <c r="D6">
        <v>20147</v>
      </c>
      <c r="E6">
        <v>7072</v>
      </c>
      <c r="F6">
        <v>0</v>
      </c>
      <c r="G6">
        <v>7072</v>
      </c>
      <c r="H6">
        <v>1.6799999999999999E-2</v>
      </c>
      <c r="I6">
        <v>118.81</v>
      </c>
      <c r="J6" t="str">
        <f t="shared" si="0"/>
        <v>X3B7003661 - WF-C5790</v>
      </c>
    </row>
    <row r="7" spans="1:10" x14ac:dyDescent="0.25">
      <c r="A7" t="s">
        <v>91</v>
      </c>
      <c r="B7" t="s">
        <v>92</v>
      </c>
      <c r="C7">
        <v>0</v>
      </c>
      <c r="D7">
        <v>0</v>
      </c>
      <c r="E7">
        <v>0</v>
      </c>
      <c r="F7">
        <v>0</v>
      </c>
      <c r="G7">
        <v>0</v>
      </c>
      <c r="H7">
        <v>3.0099999999999998E-2</v>
      </c>
      <c r="I7">
        <v>0</v>
      </c>
      <c r="J7" t="str">
        <f t="shared" si="0"/>
        <v>X3B7003661 - WF-C5790</v>
      </c>
    </row>
    <row r="8" spans="1:10" x14ac:dyDescent="0.25">
      <c r="A8" t="s">
        <v>94</v>
      </c>
      <c r="B8" t="s">
        <v>95</v>
      </c>
      <c r="C8">
        <v>6457</v>
      </c>
      <c r="D8">
        <v>13206</v>
      </c>
      <c r="E8">
        <v>6749</v>
      </c>
      <c r="F8">
        <v>0</v>
      </c>
      <c r="G8">
        <v>6749</v>
      </c>
      <c r="H8">
        <v>4.7199999999999999E-2</v>
      </c>
      <c r="I8">
        <v>318.55</v>
      </c>
      <c r="J8" t="str">
        <f t="shared" si="0"/>
        <v>X3B7003661 - WF-C5790</v>
      </c>
    </row>
    <row r="9" spans="1:10" x14ac:dyDescent="0.25">
      <c r="B9" t="s">
        <v>97</v>
      </c>
      <c r="C9">
        <v>0</v>
      </c>
      <c r="D9">
        <v>0</v>
      </c>
      <c r="E9">
        <v>0</v>
      </c>
      <c r="F9">
        <v>0</v>
      </c>
      <c r="G9">
        <v>0</v>
      </c>
      <c r="H9">
        <v>9.06E-2</v>
      </c>
      <c r="I9">
        <v>0</v>
      </c>
      <c r="J9" t="str">
        <f t="shared" si="0"/>
        <v>X3B7003661 - WF-C5790</v>
      </c>
    </row>
    <row r="10" spans="1:10" x14ac:dyDescent="0.25">
      <c r="B10" t="s">
        <v>99</v>
      </c>
      <c r="C10">
        <v>19532</v>
      </c>
      <c r="D10">
        <v>33353</v>
      </c>
      <c r="J10" t="str">
        <f t="shared" si="0"/>
        <v>X3B7003661 - WF-C5790</v>
      </c>
    </row>
    <row r="11" spans="1:10" x14ac:dyDescent="0.25">
      <c r="A11" t="s">
        <v>100</v>
      </c>
      <c r="B11" t="s">
        <v>88</v>
      </c>
      <c r="C11">
        <v>57</v>
      </c>
      <c r="D11">
        <v>8633</v>
      </c>
      <c r="E11">
        <v>8576</v>
      </c>
      <c r="F11">
        <v>0</v>
      </c>
      <c r="G11">
        <v>0</v>
      </c>
      <c r="H11">
        <v>1.6799999999999999E-2</v>
      </c>
      <c r="I11">
        <v>0</v>
      </c>
      <c r="J11" t="str">
        <f t="shared" si="0"/>
        <v>9502370Y - MX-M3070 - Bolsa 1</v>
      </c>
    </row>
    <row r="12" spans="1:10" x14ac:dyDescent="0.25">
      <c r="A12" t="s">
        <v>101</v>
      </c>
      <c r="B12" t="s">
        <v>92</v>
      </c>
      <c r="C12">
        <v>0</v>
      </c>
      <c r="D12">
        <v>0</v>
      </c>
      <c r="E12">
        <v>0</v>
      </c>
      <c r="F12">
        <v>0</v>
      </c>
      <c r="G12">
        <v>0</v>
      </c>
      <c r="H12">
        <v>3.0099999999999998E-2</v>
      </c>
      <c r="I12">
        <v>0</v>
      </c>
      <c r="J12" t="str">
        <f t="shared" si="0"/>
        <v>9502370Y - MX-M3070 - Bolsa 1</v>
      </c>
    </row>
    <row r="13" spans="1:10" x14ac:dyDescent="0.25">
      <c r="A13" t="s">
        <v>94</v>
      </c>
      <c r="B13" t="s">
        <v>95</v>
      </c>
      <c r="C13">
        <v>0</v>
      </c>
      <c r="D13">
        <v>0</v>
      </c>
      <c r="E13">
        <v>0</v>
      </c>
      <c r="F13">
        <v>0</v>
      </c>
      <c r="G13">
        <v>0</v>
      </c>
      <c r="H13">
        <v>4.7199999999999999E-2</v>
      </c>
      <c r="I13">
        <v>0</v>
      </c>
      <c r="J13" t="str">
        <f t="shared" si="0"/>
        <v>9502370Y - MX-M3070 - Bolsa 1</v>
      </c>
    </row>
    <row r="14" spans="1:10" x14ac:dyDescent="0.25">
      <c r="B14" t="s">
        <v>97</v>
      </c>
      <c r="C14">
        <v>0</v>
      </c>
      <c r="D14">
        <v>0</v>
      </c>
      <c r="E14">
        <v>0</v>
      </c>
      <c r="F14">
        <v>0</v>
      </c>
      <c r="G14">
        <v>0</v>
      </c>
      <c r="H14">
        <v>9.06E-2</v>
      </c>
      <c r="I14">
        <v>0</v>
      </c>
      <c r="J14" t="str">
        <f t="shared" si="0"/>
        <v>9502370Y - MX-M3070 - Bolsa 1</v>
      </c>
    </row>
    <row r="15" spans="1:10" x14ac:dyDescent="0.25">
      <c r="B15" t="s">
        <v>99</v>
      </c>
      <c r="C15">
        <v>57</v>
      </c>
      <c r="D15">
        <v>8633</v>
      </c>
      <c r="J15" t="str">
        <f t="shared" si="0"/>
        <v>9502370Y - MX-M3070 - Bolsa 1</v>
      </c>
    </row>
    <row r="16" spans="1:10" x14ac:dyDescent="0.25">
      <c r="A16" t="s">
        <v>102</v>
      </c>
      <c r="B16" t="s">
        <v>88</v>
      </c>
      <c r="C16">
        <v>156715</v>
      </c>
      <c r="D16">
        <v>159127</v>
      </c>
      <c r="E16">
        <v>2412</v>
      </c>
      <c r="F16">
        <v>0</v>
      </c>
      <c r="G16">
        <v>0</v>
      </c>
      <c r="H16">
        <v>1.6799999999999999E-2</v>
      </c>
      <c r="I16">
        <v>0</v>
      </c>
      <c r="J16" t="str">
        <f t="shared" si="0"/>
        <v>QFX06245 - IR-1730 - Bolsa 1</v>
      </c>
    </row>
    <row r="17" spans="1:10" x14ac:dyDescent="0.25">
      <c r="A17" t="s">
        <v>101</v>
      </c>
      <c r="B17" t="s">
        <v>92</v>
      </c>
      <c r="C17">
        <v>0</v>
      </c>
      <c r="D17">
        <v>0</v>
      </c>
      <c r="E17">
        <v>0</v>
      </c>
      <c r="F17">
        <v>0</v>
      </c>
      <c r="G17">
        <v>0</v>
      </c>
      <c r="H17">
        <v>3.0099999999999998E-2</v>
      </c>
      <c r="I17">
        <v>0</v>
      </c>
      <c r="J17" t="str">
        <f t="shared" si="0"/>
        <v>QFX06245 - IR-1730 - Bolsa 1</v>
      </c>
    </row>
    <row r="18" spans="1:10" x14ac:dyDescent="0.25">
      <c r="A18" t="s">
        <v>94</v>
      </c>
      <c r="B18" t="s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4.7199999999999999E-2</v>
      </c>
      <c r="I18">
        <v>0</v>
      </c>
      <c r="J18" t="str">
        <f t="shared" si="0"/>
        <v>QFX06245 - IR-1730 - Bolsa 1</v>
      </c>
    </row>
    <row r="19" spans="1:10" x14ac:dyDescent="0.25">
      <c r="B19" t="s">
        <v>97</v>
      </c>
      <c r="C19">
        <v>0</v>
      </c>
      <c r="D19">
        <v>0</v>
      </c>
      <c r="E19">
        <v>0</v>
      </c>
      <c r="F19">
        <v>0</v>
      </c>
      <c r="G19">
        <v>0</v>
      </c>
      <c r="H19">
        <v>9.06E-2</v>
      </c>
      <c r="I19">
        <v>0</v>
      </c>
      <c r="J19" t="str">
        <f t="shared" si="0"/>
        <v>QFX06245 - IR-1730 - Bolsa 1</v>
      </c>
    </row>
    <row r="20" spans="1:10" x14ac:dyDescent="0.25">
      <c r="B20" t="s">
        <v>99</v>
      </c>
      <c r="C20">
        <v>156715</v>
      </c>
      <c r="D20">
        <v>159127</v>
      </c>
      <c r="J20" t="str">
        <f t="shared" si="0"/>
        <v>QFX06245 - IR-1730 - Bolsa 1</v>
      </c>
    </row>
    <row r="21" spans="1:10" x14ac:dyDescent="0.25">
      <c r="A21" t="s">
        <v>103</v>
      </c>
      <c r="B21" t="s">
        <v>88</v>
      </c>
      <c r="C21">
        <v>83734</v>
      </c>
      <c r="D21">
        <v>84608</v>
      </c>
      <c r="E21">
        <v>874</v>
      </c>
      <c r="F21">
        <v>0</v>
      </c>
      <c r="G21">
        <v>0</v>
      </c>
      <c r="H21">
        <v>1.6799999999999999E-2</v>
      </c>
      <c r="I21">
        <v>0</v>
      </c>
      <c r="J21" t="str">
        <f t="shared" si="0"/>
        <v>X3B7002433 - WF-C5790 - Bolsa 2</v>
      </c>
    </row>
    <row r="22" spans="1:10" x14ac:dyDescent="0.25">
      <c r="A22" t="s">
        <v>91</v>
      </c>
      <c r="B22" t="s">
        <v>92</v>
      </c>
      <c r="C22">
        <v>0</v>
      </c>
      <c r="D22">
        <v>0</v>
      </c>
      <c r="E22">
        <v>0</v>
      </c>
      <c r="F22">
        <v>0</v>
      </c>
      <c r="G22">
        <v>0</v>
      </c>
      <c r="H22">
        <v>3.0099999999999998E-2</v>
      </c>
      <c r="I22">
        <v>0</v>
      </c>
      <c r="J22" t="str">
        <f t="shared" si="0"/>
        <v>X3B7002433 - WF-C5790 - Bolsa 2</v>
      </c>
    </row>
    <row r="23" spans="1:10" x14ac:dyDescent="0.25">
      <c r="A23" t="s">
        <v>94</v>
      </c>
      <c r="B23" t="s">
        <v>95</v>
      </c>
      <c r="C23">
        <v>21349</v>
      </c>
      <c r="D23">
        <v>25358</v>
      </c>
      <c r="E23">
        <v>4009</v>
      </c>
      <c r="F23">
        <v>0</v>
      </c>
      <c r="G23">
        <v>0</v>
      </c>
      <c r="H23">
        <v>4.7199999999999999E-2</v>
      </c>
      <c r="I23">
        <v>0</v>
      </c>
      <c r="J23" t="str">
        <f t="shared" si="0"/>
        <v>X3B7002433 - WF-C5790 - Bolsa 2</v>
      </c>
    </row>
    <row r="24" spans="1:10" x14ac:dyDescent="0.25">
      <c r="B24" t="s">
        <v>97</v>
      </c>
      <c r="C24">
        <v>0</v>
      </c>
      <c r="D24">
        <v>0</v>
      </c>
      <c r="E24">
        <v>0</v>
      </c>
      <c r="F24">
        <v>0</v>
      </c>
      <c r="G24">
        <v>0</v>
      </c>
      <c r="H24">
        <v>9.06E-2</v>
      </c>
      <c r="I24">
        <v>0</v>
      </c>
      <c r="J24" t="str">
        <f t="shared" si="0"/>
        <v>X3B7002433 - WF-C5790 - Bolsa 2</v>
      </c>
    </row>
    <row r="25" spans="1:10" x14ac:dyDescent="0.25">
      <c r="B25" t="s">
        <v>99</v>
      </c>
      <c r="C25">
        <v>105083</v>
      </c>
      <c r="D25">
        <v>109966</v>
      </c>
      <c r="J25" t="str">
        <f t="shared" si="0"/>
        <v>X3B7002433 - WF-C5790 - Bolsa 2</v>
      </c>
    </row>
    <row r="26" spans="1:10" x14ac:dyDescent="0.25">
      <c r="A26" t="s">
        <v>104</v>
      </c>
      <c r="B26" t="s">
        <v>88</v>
      </c>
      <c r="C26">
        <v>58830</v>
      </c>
      <c r="D26">
        <v>59665</v>
      </c>
      <c r="E26">
        <v>835</v>
      </c>
      <c r="F26">
        <v>0</v>
      </c>
      <c r="G26">
        <v>0</v>
      </c>
      <c r="H26">
        <v>1.6799999999999999E-2</v>
      </c>
      <c r="I26">
        <v>0</v>
      </c>
      <c r="J26" t="str">
        <f t="shared" si="0"/>
        <v>X3B7003876 - WF-C5790 - Bolsa 2</v>
      </c>
    </row>
    <row r="27" spans="1:10" x14ac:dyDescent="0.25">
      <c r="A27" t="s">
        <v>91</v>
      </c>
      <c r="B27" t="s">
        <v>92</v>
      </c>
      <c r="C27">
        <v>0</v>
      </c>
      <c r="D27">
        <v>0</v>
      </c>
      <c r="E27">
        <v>0</v>
      </c>
      <c r="F27">
        <v>0</v>
      </c>
      <c r="G27">
        <v>0</v>
      </c>
      <c r="H27">
        <v>3.0099999999999998E-2</v>
      </c>
      <c r="I27">
        <v>0</v>
      </c>
      <c r="J27" t="str">
        <f t="shared" si="0"/>
        <v>X3B7003876 - WF-C5790 - Bolsa 2</v>
      </c>
    </row>
    <row r="28" spans="1:10" x14ac:dyDescent="0.25">
      <c r="A28" t="s">
        <v>94</v>
      </c>
      <c r="B28" t="s">
        <v>95</v>
      </c>
      <c r="C28">
        <v>35550</v>
      </c>
      <c r="D28">
        <v>36043</v>
      </c>
      <c r="E28">
        <v>493</v>
      </c>
      <c r="F28">
        <v>0</v>
      </c>
      <c r="G28">
        <v>0</v>
      </c>
      <c r="H28">
        <v>4.7199999999999999E-2</v>
      </c>
      <c r="I28">
        <v>0</v>
      </c>
      <c r="J28" t="str">
        <f t="shared" si="0"/>
        <v>X3B7003876 - WF-C5790 - Bolsa 2</v>
      </c>
    </row>
    <row r="29" spans="1:10" x14ac:dyDescent="0.25">
      <c r="B29" t="s">
        <v>97</v>
      </c>
      <c r="C29">
        <v>0</v>
      </c>
      <c r="D29">
        <v>0</v>
      </c>
      <c r="E29">
        <v>0</v>
      </c>
      <c r="F29">
        <v>0</v>
      </c>
      <c r="G29">
        <v>0</v>
      </c>
      <c r="H29">
        <v>9.06E-2</v>
      </c>
      <c r="I29">
        <v>0</v>
      </c>
      <c r="J29" t="str">
        <f t="shared" si="0"/>
        <v>X3B7003876 - WF-C5790 - Bolsa 2</v>
      </c>
    </row>
    <row r="30" spans="1:10" x14ac:dyDescent="0.25">
      <c r="B30" t="s">
        <v>99</v>
      </c>
      <c r="C30">
        <v>94380</v>
      </c>
      <c r="D30">
        <v>95708</v>
      </c>
      <c r="J30" t="str">
        <f t="shared" si="0"/>
        <v>X3B7003876 - WF-C5790 - Bolsa 2</v>
      </c>
    </row>
    <row r="31" spans="1:10" x14ac:dyDescent="0.25">
      <c r="A31" t="s">
        <v>105</v>
      </c>
      <c r="B31" t="s">
        <v>88</v>
      </c>
      <c r="C31">
        <v>15527</v>
      </c>
      <c r="D31">
        <v>15992</v>
      </c>
      <c r="E31">
        <v>465</v>
      </c>
      <c r="F31">
        <v>0</v>
      </c>
      <c r="G31">
        <v>0</v>
      </c>
      <c r="H31">
        <v>1.6799999999999999E-2</v>
      </c>
      <c r="I31">
        <v>0</v>
      </c>
      <c r="J31" t="str">
        <f t="shared" si="0"/>
        <v>X3B7003659 - WF-C5790 - Bolsa 2</v>
      </c>
    </row>
    <row r="32" spans="1:10" x14ac:dyDescent="0.25">
      <c r="A32" t="s">
        <v>101</v>
      </c>
      <c r="B32" t="s">
        <v>92</v>
      </c>
      <c r="C32">
        <v>0</v>
      </c>
      <c r="D32">
        <v>0</v>
      </c>
      <c r="E32">
        <v>0</v>
      </c>
      <c r="F32">
        <v>0</v>
      </c>
      <c r="G32">
        <v>0</v>
      </c>
      <c r="H32">
        <v>3.0099999999999998E-2</v>
      </c>
      <c r="I32">
        <v>0</v>
      </c>
      <c r="J32" t="str">
        <f t="shared" si="0"/>
        <v>X3B7003659 - WF-C5790 - Bolsa 2</v>
      </c>
    </row>
    <row r="33" spans="1:10" x14ac:dyDescent="0.25">
      <c r="A33" t="s">
        <v>94</v>
      </c>
      <c r="B33" t="s">
        <v>95</v>
      </c>
      <c r="C33">
        <v>14379</v>
      </c>
      <c r="D33">
        <v>15205</v>
      </c>
      <c r="E33">
        <v>826</v>
      </c>
      <c r="F33">
        <v>0</v>
      </c>
      <c r="G33">
        <v>0</v>
      </c>
      <c r="H33">
        <v>4.7199999999999999E-2</v>
      </c>
      <c r="I33">
        <v>0</v>
      </c>
      <c r="J33" t="str">
        <f t="shared" si="0"/>
        <v>X3B7003659 - WF-C5790 - Bolsa 2</v>
      </c>
    </row>
    <row r="34" spans="1:10" x14ac:dyDescent="0.25">
      <c r="B34" t="s">
        <v>97</v>
      </c>
      <c r="C34">
        <v>0</v>
      </c>
      <c r="D34">
        <v>0</v>
      </c>
      <c r="E34">
        <v>0</v>
      </c>
      <c r="F34">
        <v>0</v>
      </c>
      <c r="G34">
        <v>0</v>
      </c>
      <c r="H34">
        <v>9.06E-2</v>
      </c>
      <c r="I34">
        <v>0</v>
      </c>
      <c r="J34" t="str">
        <f t="shared" ref="J34:J65" si="1">IF(AND(A34&lt;&gt;"",LEFT(A34,3)&lt;&gt;"AV."),A34,J33)</f>
        <v>X3B7003659 - WF-C5790 - Bolsa 2</v>
      </c>
    </row>
    <row r="35" spans="1:10" x14ac:dyDescent="0.25">
      <c r="B35" t="s">
        <v>99</v>
      </c>
      <c r="C35">
        <v>29906</v>
      </c>
      <c r="D35">
        <v>31197</v>
      </c>
      <c r="J35" t="str">
        <f t="shared" si="1"/>
        <v>X3B7003659 - WF-C5790 - Bolsa 2</v>
      </c>
    </row>
    <row r="36" spans="1:10" x14ac:dyDescent="0.25">
      <c r="A36" t="s">
        <v>106</v>
      </c>
      <c r="B36" t="s">
        <v>88</v>
      </c>
      <c r="C36">
        <v>83188</v>
      </c>
      <c r="D36">
        <v>83943</v>
      </c>
      <c r="E36">
        <v>755</v>
      </c>
      <c r="F36">
        <v>0</v>
      </c>
      <c r="G36">
        <v>0</v>
      </c>
      <c r="H36">
        <v>1.6799999999999999E-2</v>
      </c>
      <c r="I36">
        <v>0</v>
      </c>
      <c r="J36" t="str">
        <f t="shared" si="1"/>
        <v>X3B7003660 - WF-C5790 - Bolsa 2</v>
      </c>
    </row>
    <row r="37" spans="1:10" x14ac:dyDescent="0.25">
      <c r="A37" t="s">
        <v>101</v>
      </c>
      <c r="B37" t="s">
        <v>92</v>
      </c>
      <c r="C37">
        <v>0</v>
      </c>
      <c r="D37">
        <v>0</v>
      </c>
      <c r="E37">
        <v>0</v>
      </c>
      <c r="F37">
        <v>0</v>
      </c>
      <c r="G37">
        <v>0</v>
      </c>
      <c r="H37">
        <v>3.0099999999999998E-2</v>
      </c>
      <c r="I37">
        <v>0</v>
      </c>
      <c r="J37" t="str">
        <f t="shared" si="1"/>
        <v>X3B7003660 - WF-C5790 - Bolsa 2</v>
      </c>
    </row>
    <row r="38" spans="1:10" x14ac:dyDescent="0.25">
      <c r="A38" t="s">
        <v>94</v>
      </c>
      <c r="B38" t="s">
        <v>95</v>
      </c>
      <c r="C38">
        <v>18110</v>
      </c>
      <c r="D38">
        <v>20208</v>
      </c>
      <c r="E38">
        <v>2098</v>
      </c>
      <c r="F38">
        <v>0</v>
      </c>
      <c r="G38">
        <v>0</v>
      </c>
      <c r="H38">
        <v>4.7199999999999999E-2</v>
      </c>
      <c r="I38">
        <v>0</v>
      </c>
      <c r="J38" t="str">
        <f t="shared" si="1"/>
        <v>X3B7003660 - WF-C5790 - Bolsa 2</v>
      </c>
    </row>
    <row r="39" spans="1:10" x14ac:dyDescent="0.25">
      <c r="B39" t="s">
        <v>97</v>
      </c>
      <c r="C39">
        <v>0</v>
      </c>
      <c r="D39">
        <v>0</v>
      </c>
      <c r="E39">
        <v>0</v>
      </c>
      <c r="F39">
        <v>0</v>
      </c>
      <c r="G39">
        <v>0</v>
      </c>
      <c r="H39">
        <v>9.06E-2</v>
      </c>
      <c r="I39">
        <v>0</v>
      </c>
      <c r="J39" t="str">
        <f t="shared" si="1"/>
        <v>X3B7003660 - WF-C5790 - Bolsa 2</v>
      </c>
    </row>
    <row r="40" spans="1:10" x14ac:dyDescent="0.25">
      <c r="B40" t="s">
        <v>99</v>
      </c>
      <c r="C40">
        <v>101298</v>
      </c>
      <c r="D40">
        <v>104151</v>
      </c>
      <c r="J40" t="str">
        <f t="shared" si="1"/>
        <v>X3B7003660 - WF-C5790 - Bolsa 2</v>
      </c>
    </row>
    <row r="41" spans="1:10" x14ac:dyDescent="0.25">
      <c r="A41" t="s">
        <v>107</v>
      </c>
      <c r="B41" t="s">
        <v>88</v>
      </c>
      <c r="C41">
        <v>9497</v>
      </c>
      <c r="D41">
        <v>9830</v>
      </c>
      <c r="E41">
        <v>333</v>
      </c>
      <c r="F41">
        <v>0</v>
      </c>
      <c r="G41">
        <v>0</v>
      </c>
      <c r="H41">
        <v>1.6799999999999999E-2</v>
      </c>
      <c r="I41">
        <v>0</v>
      </c>
      <c r="J41" t="str">
        <f t="shared" si="1"/>
        <v>X3B7003671 - WF-C5790 - Bolsa 2</v>
      </c>
    </row>
    <row r="42" spans="1:10" x14ac:dyDescent="0.25">
      <c r="A42" t="s">
        <v>101</v>
      </c>
      <c r="B42" t="s">
        <v>92</v>
      </c>
      <c r="C42">
        <v>0</v>
      </c>
      <c r="D42">
        <v>0</v>
      </c>
      <c r="E42">
        <v>0</v>
      </c>
      <c r="F42">
        <v>0</v>
      </c>
      <c r="G42">
        <v>0</v>
      </c>
      <c r="H42">
        <v>3.0099999999999998E-2</v>
      </c>
      <c r="I42">
        <v>0</v>
      </c>
      <c r="J42" t="str">
        <f t="shared" si="1"/>
        <v>X3B7003671 - WF-C5790 - Bolsa 2</v>
      </c>
    </row>
    <row r="43" spans="1:10" x14ac:dyDescent="0.25">
      <c r="A43" t="s">
        <v>94</v>
      </c>
      <c r="B43" t="s">
        <v>95</v>
      </c>
      <c r="C43">
        <v>4511</v>
      </c>
      <c r="D43">
        <v>5062</v>
      </c>
      <c r="E43">
        <v>551</v>
      </c>
      <c r="F43">
        <v>0</v>
      </c>
      <c r="G43">
        <v>0</v>
      </c>
      <c r="H43">
        <v>4.7199999999999999E-2</v>
      </c>
      <c r="I43">
        <v>0</v>
      </c>
      <c r="J43" t="str">
        <f t="shared" si="1"/>
        <v>X3B7003671 - WF-C5790 - Bolsa 2</v>
      </c>
    </row>
    <row r="44" spans="1:10" x14ac:dyDescent="0.25">
      <c r="B44" t="s">
        <v>97</v>
      </c>
      <c r="C44">
        <v>0</v>
      </c>
      <c r="D44">
        <v>0</v>
      </c>
      <c r="E44">
        <v>0</v>
      </c>
      <c r="F44">
        <v>0</v>
      </c>
      <c r="G44">
        <v>0</v>
      </c>
      <c r="H44">
        <v>9.06E-2</v>
      </c>
      <c r="I44">
        <v>0</v>
      </c>
      <c r="J44" t="str">
        <f t="shared" si="1"/>
        <v>X3B7003671 - WF-C5790 - Bolsa 2</v>
      </c>
    </row>
    <row r="45" spans="1:10" x14ac:dyDescent="0.25">
      <c r="B45" t="s">
        <v>99</v>
      </c>
      <c r="C45">
        <v>14008</v>
      </c>
      <c r="D45">
        <v>14892</v>
      </c>
      <c r="J45" t="str">
        <f t="shared" si="1"/>
        <v>X3B7003671 - WF-C5790 - Bolsa 2</v>
      </c>
    </row>
    <row r="46" spans="1:10" x14ac:dyDescent="0.25">
      <c r="A46" t="s">
        <v>108</v>
      </c>
      <c r="B46" t="s">
        <v>88</v>
      </c>
      <c r="C46">
        <v>85135</v>
      </c>
      <c r="D46">
        <v>88863</v>
      </c>
      <c r="E46">
        <v>3728</v>
      </c>
      <c r="F46">
        <v>0</v>
      </c>
      <c r="G46">
        <v>0</v>
      </c>
      <c r="H46">
        <v>1.6799999999999999E-2</v>
      </c>
      <c r="I46">
        <v>0</v>
      </c>
      <c r="J46" t="str">
        <f t="shared" si="1"/>
        <v>X3B7003703 - WF-C5790 - Bolsa 2</v>
      </c>
    </row>
    <row r="47" spans="1:10" x14ac:dyDescent="0.25">
      <c r="A47" t="s">
        <v>101</v>
      </c>
      <c r="B47" t="s">
        <v>92</v>
      </c>
      <c r="C47">
        <v>0</v>
      </c>
      <c r="D47">
        <v>0</v>
      </c>
      <c r="E47">
        <v>0</v>
      </c>
      <c r="F47">
        <v>0</v>
      </c>
      <c r="G47">
        <v>0</v>
      </c>
      <c r="H47">
        <v>3.0099999999999998E-2</v>
      </c>
      <c r="I47">
        <v>0</v>
      </c>
      <c r="J47" t="str">
        <f t="shared" si="1"/>
        <v>X3B7003703 - WF-C5790 - Bolsa 2</v>
      </c>
    </row>
    <row r="48" spans="1:10" x14ac:dyDescent="0.25">
      <c r="A48" t="s">
        <v>94</v>
      </c>
      <c r="B48" t="s">
        <v>95</v>
      </c>
      <c r="C48">
        <v>9094</v>
      </c>
      <c r="D48">
        <v>9572</v>
      </c>
      <c r="E48">
        <v>478</v>
      </c>
      <c r="F48">
        <v>0</v>
      </c>
      <c r="G48">
        <v>0</v>
      </c>
      <c r="H48">
        <v>4.7199999999999999E-2</v>
      </c>
      <c r="I48">
        <v>0</v>
      </c>
      <c r="J48" t="str">
        <f t="shared" si="1"/>
        <v>X3B7003703 - WF-C5790 - Bolsa 2</v>
      </c>
    </row>
    <row r="49" spans="1:10" x14ac:dyDescent="0.25">
      <c r="B49" t="s">
        <v>97</v>
      </c>
      <c r="C49">
        <v>0</v>
      </c>
      <c r="D49">
        <v>0</v>
      </c>
      <c r="E49">
        <v>0</v>
      </c>
      <c r="F49">
        <v>0</v>
      </c>
      <c r="G49">
        <v>0</v>
      </c>
      <c r="H49">
        <v>9.06E-2</v>
      </c>
      <c r="I49">
        <v>0</v>
      </c>
      <c r="J49" t="str">
        <f t="shared" si="1"/>
        <v>X3B7003703 - WF-C5790 - Bolsa 2</v>
      </c>
    </row>
    <row r="50" spans="1:10" x14ac:dyDescent="0.25">
      <c r="B50" t="s">
        <v>99</v>
      </c>
      <c r="C50">
        <v>94229</v>
      </c>
      <c r="D50">
        <v>98435</v>
      </c>
      <c r="J50" t="str">
        <f t="shared" si="1"/>
        <v>X3B7003703 - WF-C5790 - Bolsa 2</v>
      </c>
    </row>
    <row r="51" spans="1:10" x14ac:dyDescent="0.25">
      <c r="A51" t="s">
        <v>109</v>
      </c>
      <c r="B51" t="s">
        <v>88</v>
      </c>
      <c r="C51">
        <v>129700</v>
      </c>
      <c r="D51">
        <v>131931</v>
      </c>
      <c r="E51">
        <v>2231</v>
      </c>
      <c r="F51">
        <v>0</v>
      </c>
      <c r="G51">
        <v>0</v>
      </c>
      <c r="H51">
        <v>1.6799999999999999E-2</v>
      </c>
      <c r="I51">
        <v>0</v>
      </c>
      <c r="J51" t="str">
        <f t="shared" si="1"/>
        <v>X3B7003711 - WF-C5790 - Bolsa 2</v>
      </c>
    </row>
    <row r="52" spans="1:10" x14ac:dyDescent="0.25">
      <c r="A52" t="s">
        <v>101</v>
      </c>
      <c r="B52" t="s">
        <v>92</v>
      </c>
      <c r="C52">
        <v>0</v>
      </c>
      <c r="D52">
        <v>0</v>
      </c>
      <c r="E52">
        <v>0</v>
      </c>
      <c r="F52">
        <v>0</v>
      </c>
      <c r="G52">
        <v>0</v>
      </c>
      <c r="H52">
        <v>3.0099999999999998E-2</v>
      </c>
      <c r="I52">
        <v>0</v>
      </c>
      <c r="J52" t="str">
        <f t="shared" si="1"/>
        <v>X3B7003711 - WF-C5790 - Bolsa 2</v>
      </c>
    </row>
    <row r="53" spans="1:10" x14ac:dyDescent="0.25">
      <c r="A53" t="s">
        <v>94</v>
      </c>
      <c r="B53" t="s">
        <v>95</v>
      </c>
      <c r="C53">
        <v>23452</v>
      </c>
      <c r="D53">
        <v>24235</v>
      </c>
      <c r="E53">
        <v>783</v>
      </c>
      <c r="F53">
        <v>0</v>
      </c>
      <c r="G53">
        <v>0</v>
      </c>
      <c r="H53">
        <v>4.7199999999999999E-2</v>
      </c>
      <c r="I53">
        <v>0</v>
      </c>
      <c r="J53" t="str">
        <f t="shared" si="1"/>
        <v>X3B7003711 - WF-C5790 - Bolsa 2</v>
      </c>
    </row>
    <row r="54" spans="1:10" x14ac:dyDescent="0.25">
      <c r="B54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9.06E-2</v>
      </c>
      <c r="I54">
        <v>0</v>
      </c>
      <c r="J54" t="str">
        <f t="shared" si="1"/>
        <v>X3B7003711 - WF-C5790 - Bolsa 2</v>
      </c>
    </row>
    <row r="55" spans="1:10" x14ac:dyDescent="0.25">
      <c r="B55" t="s">
        <v>99</v>
      </c>
      <c r="C55">
        <v>153152</v>
      </c>
      <c r="D55">
        <v>156166</v>
      </c>
      <c r="J55" t="str">
        <f t="shared" si="1"/>
        <v>X3B7003711 - WF-C5790 - Bolsa 2</v>
      </c>
    </row>
    <row r="56" spans="1:10" x14ac:dyDescent="0.25">
      <c r="A56" t="s">
        <v>110</v>
      </c>
      <c r="B56" t="s">
        <v>88</v>
      </c>
      <c r="C56">
        <v>30199</v>
      </c>
      <c r="D56">
        <v>30545</v>
      </c>
      <c r="E56">
        <v>346</v>
      </c>
      <c r="F56">
        <v>0</v>
      </c>
      <c r="G56">
        <v>0</v>
      </c>
      <c r="H56">
        <v>1.6799999999999999E-2</v>
      </c>
      <c r="I56">
        <v>0</v>
      </c>
      <c r="J56" t="str">
        <f t="shared" si="1"/>
        <v>X3B7003739 - WF-C5790 - Bolsa 2</v>
      </c>
    </row>
    <row r="57" spans="1:10" x14ac:dyDescent="0.25">
      <c r="A57" t="s">
        <v>101</v>
      </c>
      <c r="B57" t="s">
        <v>92</v>
      </c>
      <c r="C57">
        <v>0</v>
      </c>
      <c r="D57">
        <v>0</v>
      </c>
      <c r="E57">
        <v>0</v>
      </c>
      <c r="F57">
        <v>0</v>
      </c>
      <c r="G57">
        <v>0</v>
      </c>
      <c r="H57">
        <v>3.0099999999999998E-2</v>
      </c>
      <c r="I57">
        <v>0</v>
      </c>
      <c r="J57" t="str">
        <f t="shared" si="1"/>
        <v>X3B7003739 - WF-C5790 - Bolsa 2</v>
      </c>
    </row>
    <row r="58" spans="1:10" x14ac:dyDescent="0.25">
      <c r="A58" t="s">
        <v>94</v>
      </c>
      <c r="B58" t="s">
        <v>95</v>
      </c>
      <c r="C58">
        <v>34833</v>
      </c>
      <c r="D58">
        <v>35045</v>
      </c>
      <c r="E58">
        <v>212</v>
      </c>
      <c r="F58">
        <v>0</v>
      </c>
      <c r="G58">
        <v>0</v>
      </c>
      <c r="H58">
        <v>4.7199999999999999E-2</v>
      </c>
      <c r="I58">
        <v>0</v>
      </c>
      <c r="J58" t="str">
        <f t="shared" si="1"/>
        <v>X3B7003739 - WF-C5790 - Bolsa 2</v>
      </c>
    </row>
    <row r="59" spans="1:10" x14ac:dyDescent="0.25">
      <c r="B59" t="s">
        <v>97</v>
      </c>
      <c r="C59">
        <v>0</v>
      </c>
      <c r="D59">
        <v>0</v>
      </c>
      <c r="E59">
        <v>0</v>
      </c>
      <c r="F59">
        <v>0</v>
      </c>
      <c r="G59">
        <v>0</v>
      </c>
      <c r="H59">
        <v>9.06E-2</v>
      </c>
      <c r="I59">
        <v>0</v>
      </c>
      <c r="J59" t="str">
        <f t="shared" si="1"/>
        <v>X3B7003739 - WF-C5790 - Bolsa 2</v>
      </c>
    </row>
    <row r="60" spans="1:10" x14ac:dyDescent="0.25">
      <c r="B60" t="s">
        <v>99</v>
      </c>
      <c r="C60">
        <v>65032</v>
      </c>
      <c r="D60">
        <v>65590</v>
      </c>
      <c r="J60" t="str">
        <f t="shared" si="1"/>
        <v>X3B7003739 - WF-C5790 - Bolsa 2</v>
      </c>
    </row>
    <row r="61" spans="1:10" x14ac:dyDescent="0.25">
      <c r="A61" t="s">
        <v>111</v>
      </c>
      <c r="B61" t="s">
        <v>88</v>
      </c>
      <c r="C61">
        <v>28313</v>
      </c>
      <c r="D61">
        <v>28834</v>
      </c>
      <c r="E61">
        <v>521</v>
      </c>
      <c r="F61">
        <v>0</v>
      </c>
      <c r="G61">
        <v>0</v>
      </c>
      <c r="H61">
        <v>1.6799999999999999E-2</v>
      </c>
      <c r="I61">
        <v>0</v>
      </c>
      <c r="J61" t="str">
        <f t="shared" si="1"/>
        <v>XBJZ017602 - WF-C5890 - Bolsa 3</v>
      </c>
    </row>
    <row r="62" spans="1:10" x14ac:dyDescent="0.25">
      <c r="A62" t="s">
        <v>101</v>
      </c>
      <c r="B62" t="s">
        <v>92</v>
      </c>
      <c r="C62">
        <v>0</v>
      </c>
      <c r="D62">
        <v>0</v>
      </c>
      <c r="E62">
        <v>0</v>
      </c>
      <c r="F62">
        <v>0</v>
      </c>
      <c r="G62">
        <v>0</v>
      </c>
      <c r="H62">
        <v>3.0099999999999998E-2</v>
      </c>
      <c r="I62">
        <v>0</v>
      </c>
      <c r="J62" t="str">
        <f t="shared" si="1"/>
        <v>XBJZ017602 - WF-C5890 - Bolsa 3</v>
      </c>
    </row>
    <row r="63" spans="1:10" x14ac:dyDescent="0.25">
      <c r="A63" t="s">
        <v>94</v>
      </c>
      <c r="B63" t="s">
        <v>95</v>
      </c>
      <c r="C63">
        <v>34374</v>
      </c>
      <c r="D63">
        <v>35704</v>
      </c>
      <c r="E63">
        <v>1330</v>
      </c>
      <c r="F63">
        <v>0</v>
      </c>
      <c r="G63">
        <v>0</v>
      </c>
      <c r="H63">
        <v>4.7199999999999999E-2</v>
      </c>
      <c r="I63">
        <v>0</v>
      </c>
      <c r="J63" t="str">
        <f t="shared" si="1"/>
        <v>XBJZ017602 - WF-C5890 - Bolsa 3</v>
      </c>
    </row>
    <row r="64" spans="1:10" x14ac:dyDescent="0.25">
      <c r="B64" t="s">
        <v>97</v>
      </c>
      <c r="C64">
        <v>0</v>
      </c>
      <c r="D64">
        <v>0</v>
      </c>
      <c r="E64">
        <v>0</v>
      </c>
      <c r="F64">
        <v>0</v>
      </c>
      <c r="G64">
        <v>0</v>
      </c>
      <c r="H64">
        <v>9.06E-2</v>
      </c>
      <c r="I64">
        <v>0</v>
      </c>
      <c r="J64" t="str">
        <f t="shared" si="1"/>
        <v>XBJZ017602 - WF-C5890 - Bolsa 3</v>
      </c>
    </row>
    <row r="65" spans="1:10" x14ac:dyDescent="0.25">
      <c r="B65" t="s">
        <v>99</v>
      </c>
      <c r="C65">
        <v>62687</v>
      </c>
      <c r="D65">
        <v>64538</v>
      </c>
      <c r="J65" t="str">
        <f t="shared" si="1"/>
        <v>XBJZ017602 - WF-C5890 - Bolsa 3</v>
      </c>
    </row>
    <row r="66" spans="1:10" x14ac:dyDescent="0.25">
      <c r="A66" t="s">
        <v>112</v>
      </c>
      <c r="B66" t="s">
        <v>88</v>
      </c>
      <c r="C66">
        <v>3603</v>
      </c>
      <c r="D66">
        <v>4044</v>
      </c>
      <c r="E66">
        <v>441</v>
      </c>
      <c r="F66">
        <v>0</v>
      </c>
      <c r="G66">
        <v>0</v>
      </c>
      <c r="H66">
        <v>1.6799999999999999E-2</v>
      </c>
      <c r="I66">
        <v>0</v>
      </c>
      <c r="J66" t="str">
        <f t="shared" ref="J66:J79" si="2">IF(AND(A66&lt;&gt;"",LEFT(A66,3)&lt;&gt;"AV."),A66,J65)</f>
        <v>XBJZ017603 - WF-C5890 - Bolsa 3</v>
      </c>
    </row>
    <row r="67" spans="1:10" x14ac:dyDescent="0.25">
      <c r="A67" t="s">
        <v>101</v>
      </c>
      <c r="B67" t="s">
        <v>92</v>
      </c>
      <c r="C67">
        <v>0</v>
      </c>
      <c r="D67">
        <v>0</v>
      </c>
      <c r="E67">
        <v>0</v>
      </c>
      <c r="F67">
        <v>0</v>
      </c>
      <c r="G67">
        <v>0</v>
      </c>
      <c r="H67">
        <v>3.0099999999999998E-2</v>
      </c>
      <c r="I67">
        <v>0</v>
      </c>
      <c r="J67" t="str">
        <f t="shared" si="2"/>
        <v>XBJZ017603 - WF-C5890 - Bolsa 3</v>
      </c>
    </row>
    <row r="68" spans="1:10" x14ac:dyDescent="0.25">
      <c r="A68" t="s">
        <v>94</v>
      </c>
      <c r="B68" t="s">
        <v>95</v>
      </c>
      <c r="C68">
        <v>3848</v>
      </c>
      <c r="D68">
        <v>4293</v>
      </c>
      <c r="E68">
        <v>445</v>
      </c>
      <c r="F68">
        <v>0</v>
      </c>
      <c r="G68">
        <v>0</v>
      </c>
      <c r="H68">
        <v>4.7199999999999999E-2</v>
      </c>
      <c r="I68">
        <v>0</v>
      </c>
      <c r="J68" t="str">
        <f t="shared" si="2"/>
        <v>XBJZ017603 - WF-C5890 - Bolsa 3</v>
      </c>
    </row>
    <row r="69" spans="1:10" x14ac:dyDescent="0.25">
      <c r="B69" t="s">
        <v>97</v>
      </c>
      <c r="C69">
        <v>0</v>
      </c>
      <c r="D69">
        <v>0</v>
      </c>
      <c r="E69">
        <v>0</v>
      </c>
      <c r="F69">
        <v>0</v>
      </c>
      <c r="G69">
        <v>0</v>
      </c>
      <c r="H69">
        <v>9.06E-2</v>
      </c>
      <c r="I69">
        <v>0</v>
      </c>
      <c r="J69" t="str">
        <f t="shared" si="2"/>
        <v>XBJZ017603 - WF-C5890 - Bolsa 3</v>
      </c>
    </row>
    <row r="70" spans="1:10" x14ac:dyDescent="0.25">
      <c r="B70" t="s">
        <v>99</v>
      </c>
      <c r="C70">
        <v>7451</v>
      </c>
      <c r="D70">
        <v>8337</v>
      </c>
      <c r="J70" t="str">
        <f t="shared" si="2"/>
        <v>XBJZ017603 - WF-C5890 - Bolsa 3</v>
      </c>
    </row>
    <row r="71" spans="1:10" x14ac:dyDescent="0.25">
      <c r="A71" t="s">
        <v>113</v>
      </c>
      <c r="B71" t="s">
        <v>88</v>
      </c>
      <c r="C71">
        <v>6445</v>
      </c>
      <c r="D71">
        <v>7222</v>
      </c>
      <c r="E71">
        <v>777</v>
      </c>
      <c r="F71">
        <v>0</v>
      </c>
      <c r="G71">
        <v>0</v>
      </c>
      <c r="H71">
        <v>1.6799999999999999E-2</v>
      </c>
      <c r="I71">
        <v>0</v>
      </c>
      <c r="J71" t="str">
        <f t="shared" si="2"/>
        <v>XBJZ017266 - WF-C5890 - Bolsa 3</v>
      </c>
    </row>
    <row r="72" spans="1:10" x14ac:dyDescent="0.25">
      <c r="A72" t="s">
        <v>101</v>
      </c>
      <c r="B72" t="s">
        <v>92</v>
      </c>
      <c r="C72">
        <v>0</v>
      </c>
      <c r="D72">
        <v>0</v>
      </c>
      <c r="E72">
        <v>0</v>
      </c>
      <c r="F72">
        <v>0</v>
      </c>
      <c r="G72">
        <v>0</v>
      </c>
      <c r="H72">
        <v>3.0099999999999998E-2</v>
      </c>
      <c r="I72">
        <v>0</v>
      </c>
      <c r="J72" t="str">
        <f t="shared" si="2"/>
        <v>XBJZ017266 - WF-C5890 - Bolsa 3</v>
      </c>
    </row>
    <row r="73" spans="1:10" x14ac:dyDescent="0.25">
      <c r="A73" t="s">
        <v>94</v>
      </c>
      <c r="B73" t="s">
        <v>95</v>
      </c>
      <c r="C73">
        <v>24340</v>
      </c>
      <c r="D73">
        <v>28775</v>
      </c>
      <c r="E73">
        <v>4435</v>
      </c>
      <c r="F73">
        <v>0</v>
      </c>
      <c r="G73">
        <v>0</v>
      </c>
      <c r="H73">
        <v>4.7199999999999999E-2</v>
      </c>
      <c r="I73">
        <v>0</v>
      </c>
      <c r="J73" t="str">
        <f t="shared" si="2"/>
        <v>XBJZ017266 - WF-C5890 - Bolsa 3</v>
      </c>
    </row>
    <row r="74" spans="1:10" x14ac:dyDescent="0.25">
      <c r="B74" t="s">
        <v>97</v>
      </c>
      <c r="C74">
        <v>0</v>
      </c>
      <c r="D74">
        <v>0</v>
      </c>
      <c r="E74">
        <v>0</v>
      </c>
      <c r="F74">
        <v>0</v>
      </c>
      <c r="G74">
        <v>0</v>
      </c>
      <c r="H74">
        <v>9.06E-2</v>
      </c>
      <c r="I74">
        <v>0</v>
      </c>
      <c r="J74" t="str">
        <f t="shared" si="2"/>
        <v>XBJZ017266 - WF-C5890 - Bolsa 3</v>
      </c>
    </row>
    <row r="75" spans="1:10" x14ac:dyDescent="0.25">
      <c r="B75" t="s">
        <v>99</v>
      </c>
      <c r="C75">
        <v>30785</v>
      </c>
      <c r="D75">
        <v>35997</v>
      </c>
      <c r="J75" t="str">
        <f t="shared" si="2"/>
        <v>XBJZ017266 - WF-C5890 - Bolsa 3</v>
      </c>
    </row>
    <row r="76" spans="1:10" x14ac:dyDescent="0.25">
      <c r="A76" t="s">
        <v>114</v>
      </c>
      <c r="B76" t="s">
        <v>88</v>
      </c>
      <c r="C76">
        <v>1638</v>
      </c>
      <c r="D76">
        <v>2080</v>
      </c>
      <c r="E76">
        <v>442</v>
      </c>
      <c r="F76">
        <v>0</v>
      </c>
      <c r="G76">
        <v>0</v>
      </c>
      <c r="H76">
        <v>1.6799999999999999E-2</v>
      </c>
      <c r="I76">
        <v>0</v>
      </c>
      <c r="J76" t="str">
        <f t="shared" si="2"/>
        <v>XBJZ021772 - WF-C5890 - Bolsa 3</v>
      </c>
    </row>
    <row r="77" spans="1:10" x14ac:dyDescent="0.25">
      <c r="A77" t="s">
        <v>91</v>
      </c>
      <c r="B77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3.0099999999999998E-2</v>
      </c>
      <c r="I77">
        <v>0</v>
      </c>
      <c r="J77" t="str">
        <f t="shared" si="2"/>
        <v>XBJZ021772 - WF-C5890 - Bolsa 3</v>
      </c>
    </row>
    <row r="78" spans="1:10" x14ac:dyDescent="0.25">
      <c r="A78" t="s">
        <v>94</v>
      </c>
      <c r="B78" t="s">
        <v>95</v>
      </c>
      <c r="C78">
        <v>1473</v>
      </c>
      <c r="D78">
        <v>2133</v>
      </c>
      <c r="E78">
        <v>660</v>
      </c>
      <c r="F78">
        <v>0</v>
      </c>
      <c r="G78">
        <v>0</v>
      </c>
      <c r="H78">
        <v>4.7199999999999999E-2</v>
      </c>
      <c r="I78">
        <v>0</v>
      </c>
      <c r="J78" t="str">
        <f t="shared" si="2"/>
        <v>XBJZ021772 - WF-C5890 - Bolsa 3</v>
      </c>
    </row>
    <row r="79" spans="1:10" x14ac:dyDescent="0.25">
      <c r="B79" t="s">
        <v>97</v>
      </c>
      <c r="C79">
        <v>0</v>
      </c>
      <c r="D79">
        <v>0</v>
      </c>
      <c r="E79">
        <v>0</v>
      </c>
      <c r="F79">
        <v>0</v>
      </c>
      <c r="G79">
        <v>0</v>
      </c>
      <c r="H79">
        <v>9.06E-2</v>
      </c>
      <c r="I79">
        <v>0</v>
      </c>
      <c r="J79" t="str">
        <f t="shared" si="2"/>
        <v>XBJZ021772 - WF-C5890 - Bolsa 3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1751-CD54-4DB1-B959-AD61045D7BD7}">
  <sheetPr>
    <tabColor rgb="FF00B0F0"/>
  </sheetPr>
  <dimension ref="A1:Z97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0.28515625" customWidth="1"/>
    <col min="2" max="2" width="6.5703125" bestFit="1" customWidth="1"/>
    <col min="3" max="3" width="15.5703125" bestFit="1" customWidth="1"/>
    <col min="4" max="4" width="11.28515625" bestFit="1" customWidth="1"/>
    <col min="6" max="6" width="34.5703125" bestFit="1" customWidth="1"/>
    <col min="7" max="8" width="10.85546875" style="99" bestFit="1" customWidth="1"/>
    <col min="9" max="9" width="9.28515625" style="99" bestFit="1" customWidth="1"/>
    <col min="10" max="10" width="9.42578125" style="99" bestFit="1" customWidth="1"/>
    <col min="11" max="11" width="10.85546875" style="99" bestFit="1" customWidth="1"/>
    <col min="12" max="13" width="10.85546875" style="99" customWidth="1"/>
    <col min="14" max="14" width="10.85546875" style="112" customWidth="1"/>
    <col min="15" max="15" width="10.85546875" style="99" bestFit="1" customWidth="1"/>
    <col min="16" max="16" width="10.85546875" style="112" bestFit="1" customWidth="1"/>
    <col min="17" max="19" width="10.85546875" style="112" customWidth="1"/>
    <col min="20" max="20" width="10.85546875" style="141" customWidth="1"/>
    <col min="22" max="22" width="7.140625" bestFit="1" customWidth="1"/>
    <col min="23" max="24" width="14.28515625" customWidth="1"/>
  </cols>
  <sheetData>
    <row r="1" spans="1:25" s="98" customFormat="1" ht="60.75" thickBot="1" x14ac:dyDescent="0.3">
      <c r="A1" s="156">
        <v>46112</v>
      </c>
      <c r="B1" s="107" t="s">
        <v>165</v>
      </c>
      <c r="C1" s="107" t="s">
        <v>166</v>
      </c>
      <c r="D1" s="107" t="s">
        <v>167</v>
      </c>
      <c r="E1" s="107" t="s">
        <v>168</v>
      </c>
      <c r="F1" s="107" t="s">
        <v>169</v>
      </c>
      <c r="G1" s="107" t="s">
        <v>170</v>
      </c>
      <c r="H1" s="107" t="s">
        <v>164</v>
      </c>
      <c r="I1" s="107" t="s">
        <v>230</v>
      </c>
      <c r="J1" s="107" t="s">
        <v>258</v>
      </c>
      <c r="K1" s="107" t="s">
        <v>259</v>
      </c>
      <c r="L1" s="107" t="s">
        <v>257</v>
      </c>
      <c r="M1" s="107" t="s">
        <v>260</v>
      </c>
      <c r="N1" s="109" t="s">
        <v>261</v>
      </c>
      <c r="O1" s="107" t="s">
        <v>229</v>
      </c>
      <c r="P1" s="109" t="s">
        <v>49</v>
      </c>
      <c r="Q1" s="130" t="s">
        <v>268</v>
      </c>
      <c r="R1" s="130"/>
      <c r="S1" s="130"/>
      <c r="T1" s="139" t="s">
        <v>269</v>
      </c>
      <c r="V1" s="107" t="s">
        <v>164</v>
      </c>
      <c r="W1" s="114" t="s">
        <v>230</v>
      </c>
      <c r="X1" s="114" t="s">
        <v>228</v>
      </c>
    </row>
    <row r="2" spans="1:25" ht="15.75" thickTop="1" x14ac:dyDescent="0.25">
      <c r="B2" s="159" t="s">
        <v>171</v>
      </c>
      <c r="C2" s="159" t="s">
        <v>232</v>
      </c>
      <c r="D2" s="159" t="s">
        <v>172</v>
      </c>
      <c r="E2" s="162" t="s">
        <v>173</v>
      </c>
      <c r="F2" s="159" t="s">
        <v>174</v>
      </c>
      <c r="G2" s="159">
        <v>1</v>
      </c>
      <c r="H2" s="157" t="s">
        <v>231</v>
      </c>
      <c r="I2" s="105" t="s">
        <v>88</v>
      </c>
      <c r="J2" s="105">
        <f>+SUMIFS('01'!$D:$D,'01'!$M:$M,$D$2&amp;" - "&amp;$C$2&amp;" - "&amp;$H$2,'01'!$C:$C,'2026-3'!$I2)</f>
        <v>130708</v>
      </c>
      <c r="K2" s="105">
        <f>+SUMIFS('01'!$E:$E,'01'!$M:$M,$D$2&amp;" - "&amp;$C$2&amp;" - "&amp;$H$2,'01'!$C:$C,'2026-3'!$I2)</f>
        <v>131063</v>
      </c>
      <c r="L2" s="105">
        <f>IF(K2-J2&lt;=0,"0",K2-J2)</f>
        <v>355</v>
      </c>
      <c r="M2" s="113">
        <f>SUMIFS(X:X,V:V,H$18,W:W,I2)/COUNTIF(H:H,H$18)</f>
        <v>188</v>
      </c>
      <c r="N2" s="110">
        <f>IFERROR(+L2-M2,"")</f>
        <v>167</v>
      </c>
      <c r="O2" s="105">
        <f>VALUE(+VLOOKUP(I2,'01'!C:K,9,FALSE))</f>
        <v>1.6799999999999999E-2</v>
      </c>
      <c r="P2" s="110">
        <f>IFERROR(+N2*O2,"")</f>
        <v>2.8055999999999996</v>
      </c>
      <c r="Q2" s="131" cm="1">
        <f t="array" ref="Q2">_xlfn._xlws.FILTER(SAP!$B$2,1)/COUNTA($G$2:$G$85)</f>
        <v>51.681904761904761</v>
      </c>
      <c r="R2" s="133">
        <f>+SUM(P2:P5)</f>
        <v>-2.0712000000000006</v>
      </c>
      <c r="S2">
        <v>941231308</v>
      </c>
      <c r="T2" s="140">
        <v>408</v>
      </c>
      <c r="U2" s="163">
        <v>1</v>
      </c>
      <c r="V2" s="115" t="s">
        <v>247</v>
      </c>
      <c r="W2" s="115" t="s">
        <v>88</v>
      </c>
      <c r="X2" s="115">
        <v>13000</v>
      </c>
    </row>
    <row r="3" spans="1:25" x14ac:dyDescent="0.25">
      <c r="B3" s="159"/>
      <c r="C3" s="159"/>
      <c r="D3" s="159"/>
      <c r="E3" s="159"/>
      <c r="F3" s="159"/>
      <c r="G3" s="159"/>
      <c r="H3" s="157"/>
      <c r="I3" s="103" t="s">
        <v>92</v>
      </c>
      <c r="J3" s="105">
        <f>+SUMIFS('01'!$D:$D,'01'!$M:$M,$D$2&amp;" - "&amp;$C$2&amp;" - "&amp;$H$2,'01'!$C:$C,'2026-3'!$I3)</f>
        <v>6966</v>
      </c>
      <c r="K3" s="103">
        <f>+SUMIFS('01'!$E:$E,'01'!$M:$M,$D$2&amp;" - "&amp;$C$2&amp;" - "&amp;$H$2,'01'!$C:$C,'2026-3'!$I3)</f>
        <v>6966</v>
      </c>
      <c r="L3" s="105" t="str">
        <f t="shared" ref="L3:L5" si="0">IF(K3-J3&lt;=0,"0",K3-J3)</f>
        <v>0</v>
      </c>
      <c r="M3" s="105">
        <f>SUMIFS(X:X,V:V,H$18,W:W,I3)/COUNTIF(H:H,H$18)</f>
        <v>0</v>
      </c>
      <c r="N3" s="110">
        <f t="shared" ref="N3:N5" si="1">IFERROR(+L3-M3,"")</f>
        <v>0</v>
      </c>
      <c r="O3" s="103">
        <f>VALUE(+VLOOKUP(I3,'01'!C:K,9,FALSE))</f>
        <v>3.0099999999999998E-2</v>
      </c>
      <c r="P3" s="110">
        <f t="shared" ref="P3:P5" si="2">IFERROR(+N3*O3,"")</f>
        <v>0</v>
      </c>
      <c r="Q3" s="133"/>
      <c r="R3" s="133"/>
      <c r="S3" s="133"/>
      <c r="T3" s="140"/>
      <c r="U3" s="163"/>
      <c r="V3" s="115" t="s">
        <v>247</v>
      </c>
      <c r="W3" s="115" t="s">
        <v>92</v>
      </c>
      <c r="X3" s="115"/>
    </row>
    <row r="4" spans="1:25" x14ac:dyDescent="0.25">
      <c r="B4" s="159"/>
      <c r="C4" s="159"/>
      <c r="D4" s="159"/>
      <c r="E4" s="159"/>
      <c r="F4" s="159"/>
      <c r="G4" s="159"/>
      <c r="H4" s="157"/>
      <c r="I4" s="103" t="s">
        <v>95</v>
      </c>
      <c r="J4" s="105">
        <f>+SUMIFS('01'!$D:$D,'01'!$M:$M,$D$2&amp;" - "&amp;$C$2&amp;" - "&amp;$H$2,'01'!$C:$C,'2026-3'!$I4)</f>
        <v>187880</v>
      </c>
      <c r="K4" s="103">
        <f>+SUMIFS('01'!$E:$E,'01'!$M:$M,$D$2&amp;" - "&amp;$C$2&amp;" - "&amp;$H$2,'01'!$C:$C,'2026-3'!$I4)</f>
        <v>188332</v>
      </c>
      <c r="L4" s="105">
        <f t="shared" si="0"/>
        <v>452</v>
      </c>
      <c r="M4" s="105">
        <f>SUMIFS(X:X,V:V,H$18,W:W,I4)/COUNTIF(H:H,H$18)</f>
        <v>563</v>
      </c>
      <c r="N4" s="110">
        <f t="shared" si="1"/>
        <v>-111</v>
      </c>
      <c r="O4" s="103">
        <f>VALUE(+VLOOKUP(I4,'01'!C:K,9,FALSE))</f>
        <v>4.7199999999999999E-2</v>
      </c>
      <c r="P4" s="138">
        <f t="shared" si="2"/>
        <v>-5.2392000000000003</v>
      </c>
      <c r="U4" s="163"/>
      <c r="V4" s="115" t="s">
        <v>247</v>
      </c>
      <c r="W4" s="115" t="s">
        <v>95</v>
      </c>
      <c r="X4" s="115"/>
    </row>
    <row r="5" spans="1:25" ht="15.75" thickBot="1" x14ac:dyDescent="0.3">
      <c r="B5" s="160"/>
      <c r="C5" s="160"/>
      <c r="D5" s="160"/>
      <c r="E5" s="160"/>
      <c r="F5" s="160"/>
      <c r="G5" s="160"/>
      <c r="H5" s="158"/>
      <c r="I5" s="106" t="s">
        <v>97</v>
      </c>
      <c r="J5" s="106">
        <f>+SUMIFS('01'!$D:$D,'01'!$M:$M,$D$2&amp;" - "&amp;$C$2&amp;" - "&amp;$H$2,'01'!$C:$C,'2026-3'!$I5)</f>
        <v>6966</v>
      </c>
      <c r="K5" s="106">
        <f>+SUMIFS('01'!$E:$E,'01'!$M:$M,$D$2&amp;" - "&amp;$C$2&amp;" - "&amp;$H$2,'01'!$C:$C,'2026-3'!$I5)</f>
        <v>6970</v>
      </c>
      <c r="L5" s="106">
        <f t="shared" si="0"/>
        <v>4</v>
      </c>
      <c r="M5" s="106">
        <f>SUMIFS(X:X,V:V,H$18,W:W,I5)/COUNTIF(H:H,H$18)</f>
        <v>0</v>
      </c>
      <c r="N5" s="111">
        <f t="shared" si="1"/>
        <v>4</v>
      </c>
      <c r="O5" s="106">
        <f>VALUE(+VLOOKUP(I5,'01'!C:K,9,FALSE))</f>
        <v>9.06E-2</v>
      </c>
      <c r="P5" s="111">
        <f t="shared" si="2"/>
        <v>0.3624</v>
      </c>
      <c r="Q5" s="133"/>
      <c r="R5" s="133"/>
      <c r="S5" s="133"/>
      <c r="T5" s="140"/>
      <c r="U5" s="163"/>
      <c r="V5" s="116" t="s">
        <v>247</v>
      </c>
      <c r="W5" s="116" t="s">
        <v>97</v>
      </c>
      <c r="X5" s="116"/>
    </row>
    <row r="6" spans="1:25" ht="15.75" thickTop="1" x14ac:dyDescent="0.25">
      <c r="B6" s="159"/>
      <c r="C6" s="159" t="s">
        <v>248</v>
      </c>
      <c r="D6" s="159" t="s">
        <v>175</v>
      </c>
      <c r="E6" s="159" t="s">
        <v>176</v>
      </c>
      <c r="F6" s="159" t="s">
        <v>177</v>
      </c>
      <c r="G6" s="159">
        <v>1</v>
      </c>
      <c r="H6" s="157" t="s">
        <v>247</v>
      </c>
      <c r="I6" s="105" t="s">
        <v>88</v>
      </c>
      <c r="J6" s="105">
        <f>+SUMIFS('02'!C:C,'02'!J:J,D6&amp;" - "&amp;C6&amp;" - "&amp;H6,'02'!B:B,'2026-3'!$I6)</f>
        <v>156715</v>
      </c>
      <c r="K6" s="105">
        <f>+SUMIFS('02'!D:D,'02'!J:J,D6&amp;" - "&amp;C6&amp;" - "&amp;H6,'02'!B:B,'2026-3'!$I6)</f>
        <v>159127</v>
      </c>
      <c r="L6" s="105">
        <f>IF(K6-J6&lt;=0,"0",K6-J6)</f>
        <v>2412</v>
      </c>
      <c r="M6" s="113">
        <f>SUMIFS(X:X,V:V,H6,W:W,I6)/COUNTIF(H:H,H6)</f>
        <v>3250</v>
      </c>
      <c r="N6" s="110">
        <f>IFERROR(+L6-M6,"")</f>
        <v>-838</v>
      </c>
      <c r="O6" s="105">
        <f>VALUE(+VLOOKUP(I6,'01'!C:K,9,FALSE))</f>
        <v>1.6799999999999999E-2</v>
      </c>
      <c r="P6" s="110">
        <f>+N6*O6</f>
        <v>-14.078399999999998</v>
      </c>
      <c r="Q6" s="131" cm="1">
        <f t="array" ref="Q6">_xlfn._xlws.FILTER(SAP!$B$2,1)/COUNTA($G$2:$G$85)</f>
        <v>51.681904761904761</v>
      </c>
      <c r="R6" s="133">
        <f>+SUM(P6:P9)</f>
        <v>-14.078399999999998</v>
      </c>
      <c r="S6">
        <v>941231308</v>
      </c>
      <c r="T6" s="140">
        <v>403</v>
      </c>
      <c r="U6" s="163">
        <v>2</v>
      </c>
      <c r="V6" s="117" t="s">
        <v>250</v>
      </c>
      <c r="W6" s="117" t="s">
        <v>88</v>
      </c>
      <c r="X6" s="117">
        <v>1504</v>
      </c>
      <c r="Y6">
        <f>+COUNTIF(H:H,V6)</f>
        <v>8</v>
      </c>
    </row>
    <row r="7" spans="1:25" x14ac:dyDescent="0.25">
      <c r="B7" s="159"/>
      <c r="C7" s="159"/>
      <c r="D7" s="159"/>
      <c r="E7" s="159"/>
      <c r="F7" s="159"/>
      <c r="G7" s="159"/>
      <c r="H7" s="157"/>
      <c r="I7" s="105" t="s">
        <v>92</v>
      </c>
      <c r="J7" s="105">
        <f>+SUMIFS('02'!C:C,'02'!J:J,D6&amp;" - "&amp;C6&amp;" - "&amp;H6,'02'!B:B,'2026-3'!$I7)</f>
        <v>0</v>
      </c>
      <c r="K7" s="105">
        <f>+SUMIFS('02'!D:D,'02'!J:J,D6&amp;" - "&amp;C6&amp;" - "&amp;H6,'02'!B:B,'2026-3'!$I7)</f>
        <v>0</v>
      </c>
      <c r="L7" s="105" t="str">
        <f t="shared" ref="L7:L9" si="3">IF(K7-J7&lt;=0,"0",K7-J7)</f>
        <v>0</v>
      </c>
      <c r="M7" s="105"/>
      <c r="N7" s="110">
        <f t="shared" ref="N7:N71" si="4">IFERROR(+L7-M7,"")</f>
        <v>0</v>
      </c>
      <c r="O7" s="105">
        <f>VALUE(+VLOOKUP(I7,'01'!C:K,9,FALSE))</f>
        <v>3.0099999999999998E-2</v>
      </c>
      <c r="P7" s="110">
        <f t="shared" ref="P7:P29" si="5">+N7*O7</f>
        <v>0</v>
      </c>
      <c r="Q7" s="133"/>
      <c r="R7" s="133"/>
      <c r="S7" s="133"/>
      <c r="T7" s="140"/>
      <c r="U7" s="163"/>
      <c r="V7" s="115" t="s">
        <v>250</v>
      </c>
      <c r="W7" s="115" t="s">
        <v>92</v>
      </c>
      <c r="X7" s="115"/>
    </row>
    <row r="8" spans="1:25" x14ac:dyDescent="0.25">
      <c r="B8" s="159"/>
      <c r="C8" s="159"/>
      <c r="D8" s="159"/>
      <c r="E8" s="159"/>
      <c r="F8" s="159"/>
      <c r="G8" s="159"/>
      <c r="H8" s="157"/>
      <c r="I8" s="105" t="s">
        <v>95</v>
      </c>
      <c r="J8" s="105">
        <f>+SUMIFS('02'!C:C,'02'!J:J,D6&amp;" - "&amp;C6&amp;" - "&amp;H6,'02'!B:B,'2026-3'!$I8)</f>
        <v>0</v>
      </c>
      <c r="K8" s="105">
        <f>+SUMIFS('02'!D:D,'02'!J:J,D6&amp;" - "&amp;C6&amp;" - "&amp;H6,'02'!B:B,'2026-3'!$I8)</f>
        <v>0</v>
      </c>
      <c r="L8" s="105" t="str">
        <f t="shared" si="3"/>
        <v>0</v>
      </c>
      <c r="M8" s="105"/>
      <c r="N8" s="110">
        <f t="shared" si="4"/>
        <v>0</v>
      </c>
      <c r="O8" s="105">
        <f>VALUE(+VLOOKUP(I8,'01'!C:K,9,FALSE))</f>
        <v>4.7199999999999999E-2</v>
      </c>
      <c r="P8" s="110">
        <f>+N8*O8</f>
        <v>0</v>
      </c>
      <c r="U8" s="163"/>
      <c r="V8" s="115" t="s">
        <v>250</v>
      </c>
      <c r="W8" s="115" t="s">
        <v>95</v>
      </c>
      <c r="X8" s="115">
        <v>4504</v>
      </c>
      <c r="Y8">
        <f>+X6/Y6</f>
        <v>188</v>
      </c>
    </row>
    <row r="9" spans="1:25" ht="15.75" thickBot="1" x14ac:dyDescent="0.3">
      <c r="B9" s="160"/>
      <c r="C9" s="160"/>
      <c r="D9" s="160"/>
      <c r="E9" s="160"/>
      <c r="F9" s="160"/>
      <c r="G9" s="160"/>
      <c r="H9" s="158"/>
      <c r="I9" s="106" t="s">
        <v>97</v>
      </c>
      <c r="J9" s="106">
        <f>+SUMIFS('02'!C:C,'02'!J:J,D6&amp;" - "&amp;C6&amp;" - "&amp;H6,'02'!B:B,'2026-3'!$I9)</f>
        <v>0</v>
      </c>
      <c r="K9" s="106">
        <f>+SUMIFS('02'!D:D,'02'!J:J,D6&amp;" - "&amp;C6&amp;" - "&amp;H6,'02'!B:B,'2026-3'!$I9)</f>
        <v>0</v>
      </c>
      <c r="L9" s="106" t="str">
        <f t="shared" si="3"/>
        <v>0</v>
      </c>
      <c r="M9" s="106"/>
      <c r="N9" s="111">
        <f t="shared" si="4"/>
        <v>0</v>
      </c>
      <c r="O9" s="106">
        <f>VALUE(+VLOOKUP(I9,'01'!C:K,9,FALSE))</f>
        <v>9.06E-2</v>
      </c>
      <c r="P9" s="111">
        <f t="shared" si="5"/>
        <v>0</v>
      </c>
      <c r="Q9" s="133"/>
      <c r="R9" s="133"/>
      <c r="S9" s="133"/>
      <c r="T9" s="140"/>
      <c r="U9" s="163"/>
      <c r="V9" s="116" t="s">
        <v>250</v>
      </c>
      <c r="W9" s="116" t="s">
        <v>97</v>
      </c>
      <c r="X9" s="116"/>
    </row>
    <row r="10" spans="1:25" ht="15.75" thickTop="1" x14ac:dyDescent="0.25">
      <c r="B10" s="159"/>
      <c r="C10" s="159" t="s">
        <v>249</v>
      </c>
      <c r="D10" s="161" t="s">
        <v>178</v>
      </c>
      <c r="E10" s="159" t="s">
        <v>179</v>
      </c>
      <c r="F10" s="159" t="s">
        <v>180</v>
      </c>
      <c r="G10" s="159">
        <v>1</v>
      </c>
      <c r="H10" s="157" t="s">
        <v>247</v>
      </c>
      <c r="I10" s="105" t="s">
        <v>88</v>
      </c>
      <c r="J10" s="105">
        <f>+SUMIFS('01'!$D:$D,'01'!$M:$M,$D$10&amp;" - "&amp;$C$10&amp;" - "&amp;$H$10,'01'!$C:$C,'2026-3'!$I10)</f>
        <v>36</v>
      </c>
      <c r="K10" s="105">
        <f>+SUMIFS('01'!$E:$E,'01'!$M:$M,$D$10&amp;" - "&amp;$C$10&amp;" - "&amp;$H$10,'01'!$C:$C,'2026-3'!$I10)</f>
        <v>23904</v>
      </c>
      <c r="L10" s="105">
        <f>IF(K10-J10&lt;=0,"0",K10-J10)</f>
        <v>23868</v>
      </c>
      <c r="M10" s="113">
        <f>SUMIFS(X:X,V:V,H10,W:W,I10)/COUNTIF(H:H,H10)</f>
        <v>3250</v>
      </c>
      <c r="N10" s="110">
        <f>IFERROR(+L10-M10,"")</f>
        <v>20618</v>
      </c>
      <c r="O10" s="105">
        <f>VALUE(+VLOOKUP(I10,'01'!C:K,9,FALSE))</f>
        <v>1.6799999999999999E-2</v>
      </c>
      <c r="P10" s="110">
        <f>+N10*O10</f>
        <v>346.38239999999996</v>
      </c>
      <c r="Q10" s="131" cm="1">
        <f t="array" ref="Q10">_xlfn._xlws.FILTER(SAP!$B$2,1)/COUNTA($G$2:$G$85)</f>
        <v>51.681904761904761</v>
      </c>
      <c r="R10" s="133">
        <f>+SUM(P10:P13)</f>
        <v>346.38239999999996</v>
      </c>
      <c r="S10">
        <v>931221108</v>
      </c>
      <c r="T10" s="140">
        <v>101</v>
      </c>
      <c r="U10" s="163">
        <v>1</v>
      </c>
      <c r="V10" s="115" t="s">
        <v>252</v>
      </c>
      <c r="W10" s="115" t="s">
        <v>88</v>
      </c>
      <c r="X10" s="115">
        <v>1128</v>
      </c>
    </row>
    <row r="11" spans="1:25" x14ac:dyDescent="0.25">
      <c r="B11" s="159"/>
      <c r="C11" s="159"/>
      <c r="D11" s="159"/>
      <c r="E11" s="159"/>
      <c r="F11" s="159"/>
      <c r="G11" s="159"/>
      <c r="H11" s="157"/>
      <c r="I11" s="105" t="s">
        <v>92</v>
      </c>
      <c r="J11" s="105">
        <f>+SUMIFS('01'!$D:$D,'01'!$M:$M,$D$10&amp;" - "&amp;$C$10&amp;" - "&amp;$H$10,'01'!$C:$C,'2026-3'!$I11)</f>
        <v>0</v>
      </c>
      <c r="K11" s="105">
        <f>+SUMIFS('01'!$E:$E,'01'!$M:$M,$D$10&amp;" - "&amp;$C$10&amp;" - "&amp;$H$10,'01'!$C:$C,'2026-3'!$I11)</f>
        <v>0</v>
      </c>
      <c r="L11" s="105" t="str">
        <f t="shared" ref="L11:L13" si="6">IF(K11-J11&lt;=0,"0",K11-J11)</f>
        <v>0</v>
      </c>
      <c r="M11" s="105"/>
      <c r="N11" s="110">
        <f t="shared" si="4"/>
        <v>0</v>
      </c>
      <c r="O11" s="105">
        <f>VALUE(+VLOOKUP(I11,'01'!C:K,9,FALSE))</f>
        <v>3.0099999999999998E-2</v>
      </c>
      <c r="P11" s="110">
        <f t="shared" si="5"/>
        <v>0</v>
      </c>
      <c r="Q11" s="133"/>
      <c r="R11" s="133"/>
      <c r="S11" s="133"/>
      <c r="T11" s="140"/>
      <c r="U11" s="163"/>
      <c r="V11" s="115" t="s">
        <v>252</v>
      </c>
      <c r="W11" s="115" t="s">
        <v>92</v>
      </c>
      <c r="X11" s="115"/>
    </row>
    <row r="12" spans="1:25" x14ac:dyDescent="0.25">
      <c r="B12" s="159"/>
      <c r="C12" s="159"/>
      <c r="D12" s="159"/>
      <c r="E12" s="159"/>
      <c r="F12" s="159"/>
      <c r="G12" s="159"/>
      <c r="H12" s="157"/>
      <c r="I12" s="105" t="s">
        <v>95</v>
      </c>
      <c r="J12" s="105">
        <f>+SUMIFS('01'!$D:$D,'01'!$M:$M,$D$10&amp;" - "&amp;$C$10&amp;" - "&amp;$H$10,'01'!$C:$C,'2026-3'!$I12)</f>
        <v>0</v>
      </c>
      <c r="K12" s="105">
        <f>+SUMIFS('01'!$E:$E,'01'!$M:$M,$D$10&amp;" - "&amp;$C$10&amp;" - "&amp;$H$10,'01'!$C:$C,'2026-3'!$I12)</f>
        <v>0</v>
      </c>
      <c r="L12" s="105" t="str">
        <f t="shared" si="6"/>
        <v>0</v>
      </c>
      <c r="M12" s="105"/>
      <c r="N12" s="110">
        <f t="shared" si="4"/>
        <v>0</v>
      </c>
      <c r="O12" s="105">
        <f>VALUE(+VLOOKUP(I12,'01'!C:K,9,FALSE))</f>
        <v>4.7199999999999999E-2</v>
      </c>
      <c r="P12" s="110">
        <f>+N12*O12</f>
        <v>0</v>
      </c>
      <c r="U12" s="163"/>
      <c r="V12" s="115" t="s">
        <v>252</v>
      </c>
      <c r="W12" s="115" t="s">
        <v>95</v>
      </c>
      <c r="X12" s="115">
        <v>3378</v>
      </c>
    </row>
    <row r="13" spans="1:25" ht="15.75" thickBot="1" x14ac:dyDescent="0.3">
      <c r="B13" s="160"/>
      <c r="C13" s="160"/>
      <c r="D13" s="160"/>
      <c r="E13" s="160"/>
      <c r="F13" s="160"/>
      <c r="G13" s="160"/>
      <c r="H13" s="158"/>
      <c r="I13" s="106" t="s">
        <v>97</v>
      </c>
      <c r="J13" s="106">
        <f>+SUMIFS('01'!$D:$D,'01'!$M:$M,$D$10&amp;" - "&amp;$C$10&amp;" - "&amp;$H$10,'01'!$C:$C,'2026-3'!$I13)</f>
        <v>0</v>
      </c>
      <c r="K13" s="106">
        <f>+SUMIFS('01'!$E:$E,'01'!$M:$M,$D$10&amp;" - "&amp;$C$10&amp;" - "&amp;$H$10,'01'!$C:$C,'2026-3'!$I13)</f>
        <v>0</v>
      </c>
      <c r="L13" s="106" t="str">
        <f t="shared" si="6"/>
        <v>0</v>
      </c>
      <c r="M13" s="106"/>
      <c r="N13" s="111">
        <f t="shared" si="4"/>
        <v>0</v>
      </c>
      <c r="O13" s="106">
        <f>VALUE(+VLOOKUP(I13,'01'!C:K,9,FALSE))</f>
        <v>9.06E-2</v>
      </c>
      <c r="P13" s="111">
        <f t="shared" si="5"/>
        <v>0</v>
      </c>
      <c r="Q13" s="133"/>
      <c r="R13" s="133"/>
      <c r="S13" s="133"/>
      <c r="T13" s="140"/>
      <c r="U13" s="163"/>
      <c r="V13" s="116" t="s">
        <v>252</v>
      </c>
      <c r="W13" s="116" t="s">
        <v>97</v>
      </c>
      <c r="X13" s="116"/>
    </row>
    <row r="14" spans="1:25" ht="15.75" thickTop="1" x14ac:dyDescent="0.25">
      <c r="B14" s="159"/>
      <c r="C14" s="159" t="s">
        <v>249</v>
      </c>
      <c r="D14" s="161" t="s">
        <v>181</v>
      </c>
      <c r="E14" s="159" t="s">
        <v>182</v>
      </c>
      <c r="F14" s="159" t="s">
        <v>180</v>
      </c>
      <c r="G14" s="159">
        <v>1</v>
      </c>
      <c r="H14" s="157" t="s">
        <v>247</v>
      </c>
      <c r="I14" s="105" t="s">
        <v>88</v>
      </c>
      <c r="J14" s="105">
        <f>+SUMIFS('01'!$D:$D,'01'!$M:$M,$D$14&amp;" - "&amp;$C$14&amp;" - "&amp;$H$14,'01'!$C:$C,'2026-3'!$I14)</f>
        <v>6528</v>
      </c>
      <c r="K14" s="105">
        <f>+SUMIFS('01'!$E:$E,'01'!$M:$M,$D$14&amp;" - "&amp;$C$14&amp;" - "&amp;$H$14,'01'!$C:$C,'2026-3'!$I14)</f>
        <v>14888</v>
      </c>
      <c r="L14" s="105">
        <f>IF(K14-J14&lt;=0,"0",K14-J14)</f>
        <v>8360</v>
      </c>
      <c r="M14" s="113">
        <f>SUMIFS(X:X,V:V,H14,W:W,I14)/COUNTIF(H:H,H14)</f>
        <v>3250</v>
      </c>
      <c r="N14" s="110">
        <f>IFERROR(+L14-M14,"")</f>
        <v>5110</v>
      </c>
      <c r="O14" s="105">
        <f>VALUE(+VLOOKUP(I14,'01'!C:K,9,FALSE))</f>
        <v>1.6799999999999999E-2</v>
      </c>
      <c r="P14" s="110">
        <f>+N14*O14</f>
        <v>85.847999999999999</v>
      </c>
      <c r="Q14" s="131" cm="1">
        <f t="array" ref="Q14">_xlfn._xlws.FILTER(SAP!$B$2,1)/COUNTA($G$2:$G$85)</f>
        <v>51.681904761904761</v>
      </c>
      <c r="R14" s="133">
        <f>+SUM(P14:P17)</f>
        <v>85.847999999999999</v>
      </c>
      <c r="S14">
        <v>931221108</v>
      </c>
      <c r="T14" s="140">
        <v>101</v>
      </c>
      <c r="U14" s="163">
        <v>1</v>
      </c>
      <c r="V14" s="115" t="s">
        <v>255</v>
      </c>
      <c r="W14" s="115" t="s">
        <v>88</v>
      </c>
      <c r="X14" s="115">
        <v>188</v>
      </c>
    </row>
    <row r="15" spans="1:25" x14ac:dyDescent="0.25">
      <c r="B15" s="159"/>
      <c r="C15" s="159"/>
      <c r="D15" s="159"/>
      <c r="E15" s="159"/>
      <c r="F15" s="159"/>
      <c r="G15" s="159"/>
      <c r="H15" s="157"/>
      <c r="I15" s="105" t="s">
        <v>92</v>
      </c>
      <c r="J15" s="105">
        <f>+SUMIFS('01'!$D:$D,'01'!$M:$M,$D$14&amp;" - "&amp;$C$14&amp;" - "&amp;$H$14,'01'!$C:$C,'2026-3'!$I15)</f>
        <v>0</v>
      </c>
      <c r="K15" s="105">
        <f>+SUMIFS('01'!$E:$E,'01'!$M:$M,$D$14&amp;" - "&amp;$C$14&amp;" - "&amp;$H$14,'01'!$C:$C,'2026-3'!$I15)</f>
        <v>0</v>
      </c>
      <c r="L15" s="105" t="str">
        <f t="shared" ref="L15:L17" si="7">IF(K15-J15&lt;=0,"0",K15-J15)</f>
        <v>0</v>
      </c>
      <c r="M15" s="105"/>
      <c r="N15" s="110">
        <f t="shared" si="4"/>
        <v>0</v>
      </c>
      <c r="O15" s="105">
        <f>VALUE(+VLOOKUP(I15,'01'!C:K,9,FALSE))</f>
        <v>3.0099999999999998E-2</v>
      </c>
      <c r="P15" s="110">
        <f t="shared" si="5"/>
        <v>0</v>
      </c>
      <c r="Q15" s="133"/>
      <c r="R15" s="133"/>
      <c r="S15" s="133"/>
      <c r="T15" s="140"/>
      <c r="U15" s="163"/>
      <c r="V15" s="115" t="s">
        <v>255</v>
      </c>
      <c r="W15" s="115" t="s">
        <v>92</v>
      </c>
      <c r="X15" s="115"/>
    </row>
    <row r="16" spans="1:25" x14ac:dyDescent="0.25">
      <c r="B16" s="159"/>
      <c r="C16" s="159"/>
      <c r="D16" s="159"/>
      <c r="E16" s="159"/>
      <c r="F16" s="159"/>
      <c r="G16" s="159"/>
      <c r="H16" s="157"/>
      <c r="I16" s="105" t="s">
        <v>95</v>
      </c>
      <c r="J16" s="105">
        <f>+SUMIFS('01'!$D:$D,'01'!$M:$M,$D$14&amp;" - "&amp;$C$14&amp;" - "&amp;$H$14,'01'!$C:$C,'2026-3'!$I16)</f>
        <v>0</v>
      </c>
      <c r="K16" s="105">
        <f>+SUMIFS('01'!$E:$E,'01'!$M:$M,$D$14&amp;" - "&amp;$C$14&amp;" - "&amp;$H$14,'01'!$C:$C,'2026-3'!$I16)</f>
        <v>0</v>
      </c>
      <c r="L16" s="105" t="str">
        <f t="shared" si="7"/>
        <v>0</v>
      </c>
      <c r="M16" s="105"/>
      <c r="N16" s="110">
        <f t="shared" si="4"/>
        <v>0</v>
      </c>
      <c r="O16" s="105">
        <f>VALUE(+VLOOKUP(I16,'01'!C:K,9,FALSE))</f>
        <v>4.7199999999999999E-2</v>
      </c>
      <c r="P16" s="110">
        <f>+N16*O16</f>
        <v>0</v>
      </c>
      <c r="U16" s="163"/>
      <c r="V16" s="115" t="s">
        <v>255</v>
      </c>
      <c r="W16" s="115" t="s">
        <v>95</v>
      </c>
      <c r="X16" s="115">
        <v>563</v>
      </c>
    </row>
    <row r="17" spans="2:24" ht="15.75" thickBot="1" x14ac:dyDescent="0.3">
      <c r="B17" s="160"/>
      <c r="C17" s="160"/>
      <c r="D17" s="160"/>
      <c r="E17" s="160"/>
      <c r="F17" s="160"/>
      <c r="G17" s="160"/>
      <c r="H17" s="158"/>
      <c r="I17" s="106" t="s">
        <v>97</v>
      </c>
      <c r="J17" s="106">
        <f>+SUMIFS('01'!$D:$D,'01'!$M:$M,$D$14&amp;" - "&amp;$C$14&amp;" - "&amp;$H$14,'01'!$C:$C,'2026-3'!$I17)</f>
        <v>0</v>
      </c>
      <c r="K17" s="106">
        <f>+SUMIFS('01'!$E:$E,'01'!$M:$M,$D$14&amp;" - "&amp;$C$14&amp;" - "&amp;$H$14,'01'!$C:$C,'2026-3'!$I17)</f>
        <v>0</v>
      </c>
      <c r="L17" s="106" t="str">
        <f t="shared" si="7"/>
        <v>0</v>
      </c>
      <c r="M17" s="106"/>
      <c r="N17" s="111">
        <f t="shared" si="4"/>
        <v>0</v>
      </c>
      <c r="O17" s="106">
        <f>VALUE(+VLOOKUP(I17,'01'!C:K,9,FALSE))</f>
        <v>9.06E-2</v>
      </c>
      <c r="P17" s="111">
        <f t="shared" si="5"/>
        <v>0</v>
      </c>
      <c r="Q17" s="133"/>
      <c r="R17" s="133"/>
      <c r="S17" s="133"/>
      <c r="T17" s="140"/>
      <c r="U17" s="163"/>
      <c r="V17" s="116" t="s">
        <v>255</v>
      </c>
      <c r="W17" s="116" t="s">
        <v>97</v>
      </c>
      <c r="X17" s="116"/>
    </row>
    <row r="18" spans="2:24" ht="15.75" thickTop="1" x14ac:dyDescent="0.25">
      <c r="B18" s="159" t="s">
        <v>183</v>
      </c>
      <c r="C18" s="159" t="s">
        <v>251</v>
      </c>
      <c r="D18" s="161" t="s">
        <v>184</v>
      </c>
      <c r="E18" s="159" t="s">
        <v>185</v>
      </c>
      <c r="F18" s="159" t="s">
        <v>186</v>
      </c>
      <c r="G18" s="159">
        <v>1</v>
      </c>
      <c r="H18" s="157" t="s">
        <v>250</v>
      </c>
      <c r="I18" s="105" t="s">
        <v>88</v>
      </c>
      <c r="J18" s="105">
        <f>+SUMIFS('02'!C:C,'02'!J:J,D18&amp;" - "&amp;C18&amp;" - "&amp;H18,'02'!B:B,'2026-3'!$I18)</f>
        <v>83734</v>
      </c>
      <c r="K18" s="105">
        <f>+SUMIFS('02'!D:D,'02'!J:J,D18&amp;" - "&amp;C18&amp;" - "&amp;H18,'02'!B:B,'2026-3'!$I18)</f>
        <v>84608</v>
      </c>
      <c r="L18" s="105">
        <f>IF(K18-J18&lt;=0,"0",K18-J18)</f>
        <v>874</v>
      </c>
      <c r="M18" s="113">
        <f>SUMIFS(X:X,V:V,H$18,W:W,I18)/COUNTIF(H:H,H$18)</f>
        <v>188</v>
      </c>
      <c r="N18" s="110">
        <f>IFERROR(+L18-M18,"")</f>
        <v>686</v>
      </c>
      <c r="O18" s="105">
        <f>VALUE(+VLOOKUP(I18,'01'!C:K,9,FALSE))</f>
        <v>1.6799999999999999E-2</v>
      </c>
      <c r="P18" s="110">
        <f>+N18*O18</f>
        <v>11.524799999999999</v>
      </c>
      <c r="Q18" s="131" cm="1">
        <f t="array" ref="Q18">_xlfn._xlws.FILTER(SAP!$B$2,1)/COUNTA($G$2:$G$85)</f>
        <v>51.681904761904761</v>
      </c>
      <c r="R18" s="133">
        <f>+SUM(P18:P21)</f>
        <v>174.17599999999999</v>
      </c>
      <c r="S18">
        <v>932341308</v>
      </c>
      <c r="T18" s="140">
        <v>207</v>
      </c>
      <c r="U18" s="163">
        <v>2</v>
      </c>
      <c r="V18" s="115" t="s">
        <v>231</v>
      </c>
      <c r="W18" s="115" t="s">
        <v>88</v>
      </c>
      <c r="X18" s="115">
        <v>188</v>
      </c>
    </row>
    <row r="19" spans="2:24" x14ac:dyDescent="0.25">
      <c r="B19" s="159"/>
      <c r="C19" s="159"/>
      <c r="D19" s="159"/>
      <c r="E19" s="159"/>
      <c r="F19" s="159"/>
      <c r="G19" s="159"/>
      <c r="H19" s="157"/>
      <c r="I19" s="105" t="s">
        <v>92</v>
      </c>
      <c r="J19" s="105">
        <f>+SUMIFS('02'!C:C,'02'!J:J,D18&amp;" - "&amp;C18&amp;" - "&amp;H18,'02'!B:B,'2026-3'!$I19)</f>
        <v>0</v>
      </c>
      <c r="K19" s="105">
        <f>+SUMIFS('02'!D:D,'02'!J:J,D18&amp;" - "&amp;C18&amp;" - "&amp;H18,'02'!B:B,'2026-3'!$I19)</f>
        <v>0</v>
      </c>
      <c r="L19" s="105" t="str">
        <f t="shared" ref="L19:L21" si="8">IF(K19-J19&lt;=0,"0",K19-J19)</f>
        <v>0</v>
      </c>
      <c r="M19" s="105"/>
      <c r="N19" s="110">
        <f t="shared" si="4"/>
        <v>0</v>
      </c>
      <c r="O19" s="105">
        <f>VALUE(+VLOOKUP(I19,'01'!C:K,9,FALSE))</f>
        <v>3.0099999999999998E-2</v>
      </c>
      <c r="P19" s="110">
        <f t="shared" si="5"/>
        <v>0</v>
      </c>
      <c r="Q19" s="133"/>
      <c r="R19" s="133"/>
      <c r="S19" s="133"/>
      <c r="T19" s="140"/>
      <c r="U19" s="163"/>
      <c r="V19" s="115" t="s">
        <v>231</v>
      </c>
      <c r="W19" s="115" t="s">
        <v>92</v>
      </c>
      <c r="X19" s="115"/>
    </row>
    <row r="20" spans="2:24" x14ac:dyDescent="0.25">
      <c r="B20" s="159"/>
      <c r="C20" s="159"/>
      <c r="D20" s="159"/>
      <c r="E20" s="159"/>
      <c r="F20" s="159"/>
      <c r="G20" s="159"/>
      <c r="H20" s="157"/>
      <c r="I20" s="105" t="s">
        <v>95</v>
      </c>
      <c r="J20" s="105">
        <f>+SUMIFS('02'!C:C,'02'!J:J,D18&amp;" - "&amp;C18&amp;" - "&amp;H18,'02'!B:B,'2026-3'!$I20)</f>
        <v>21349</v>
      </c>
      <c r="K20" s="105">
        <f>+SUMIFS('02'!D:D,'02'!J:J,D18&amp;" - "&amp;C18&amp;" - "&amp;H18,'02'!B:B,'2026-3'!$I20)</f>
        <v>25358</v>
      </c>
      <c r="L20" s="105">
        <f t="shared" si="8"/>
        <v>4009</v>
      </c>
      <c r="M20" s="113">
        <f>SUMIFS(X:X,V:V,$H18,W:W,I20)/COUNTIF(H:H,$H18)</f>
        <v>563</v>
      </c>
      <c r="N20" s="110">
        <f t="shared" si="4"/>
        <v>3446</v>
      </c>
      <c r="O20" s="105">
        <f>VALUE(+VLOOKUP(I20,'01'!C:K,9,FALSE))</f>
        <v>4.7199999999999999E-2</v>
      </c>
      <c r="P20" s="110">
        <f>+N20*O20</f>
        <v>162.65119999999999</v>
      </c>
      <c r="U20" s="163"/>
      <c r="V20" s="115" t="s">
        <v>231</v>
      </c>
      <c r="W20" s="115" t="s">
        <v>95</v>
      </c>
      <c r="X20" s="115">
        <v>563</v>
      </c>
    </row>
    <row r="21" spans="2:24" ht="15.75" thickBot="1" x14ac:dyDescent="0.3">
      <c r="B21" s="160"/>
      <c r="C21" s="160"/>
      <c r="D21" s="160"/>
      <c r="E21" s="160"/>
      <c r="F21" s="160"/>
      <c r="G21" s="160"/>
      <c r="H21" s="158"/>
      <c r="I21" s="106" t="s">
        <v>97</v>
      </c>
      <c r="J21" s="106">
        <f>+SUMIFS('02'!C:C,'02'!J:J,D18&amp;" - "&amp;C18&amp;" - "&amp;H18,'02'!B:B,'2026-3'!$I21)</f>
        <v>0</v>
      </c>
      <c r="K21" s="106">
        <f>+SUMIFS('02'!D:D,'02'!J:J,D18&amp;" - "&amp;C18&amp;" - "&amp;H18,'02'!B:B,'2026-3'!$I21)</f>
        <v>0</v>
      </c>
      <c r="L21" s="106" t="str">
        <f t="shared" si="8"/>
        <v>0</v>
      </c>
      <c r="M21" s="106"/>
      <c r="N21" s="111">
        <f t="shared" si="4"/>
        <v>0</v>
      </c>
      <c r="O21" s="106">
        <f>VALUE(+VLOOKUP(I21,'01'!C:K,9,FALSE))</f>
        <v>9.06E-2</v>
      </c>
      <c r="P21" s="111">
        <f t="shared" si="5"/>
        <v>0</v>
      </c>
      <c r="Q21" s="133"/>
      <c r="R21" s="133"/>
      <c r="S21" s="133"/>
      <c r="T21" s="140"/>
      <c r="U21" s="163"/>
      <c r="V21" s="116" t="s">
        <v>231</v>
      </c>
      <c r="W21" s="116" t="s">
        <v>97</v>
      </c>
      <c r="X21" s="116"/>
    </row>
    <row r="22" spans="2:24" ht="15.75" thickTop="1" x14ac:dyDescent="0.25">
      <c r="B22" s="159"/>
      <c r="C22" s="159" t="s">
        <v>251</v>
      </c>
      <c r="D22" s="161" t="s">
        <v>3</v>
      </c>
      <c r="E22" s="159" t="s">
        <v>187</v>
      </c>
      <c r="F22" s="159" t="s">
        <v>188</v>
      </c>
      <c r="G22" s="159">
        <v>1</v>
      </c>
      <c r="H22" s="157" t="s">
        <v>250</v>
      </c>
      <c r="I22" s="105" t="s">
        <v>88</v>
      </c>
      <c r="J22" s="105">
        <f>+SUMIFS('02'!C:C,'02'!J:J,D22&amp;" - "&amp;C22&amp;" - "&amp;H22,'02'!B:B,'2026-3'!$I22)</f>
        <v>15527</v>
      </c>
      <c r="K22" s="105">
        <f>+SUMIFS('02'!D:D,'02'!J:J,D22&amp;" - "&amp;C22&amp;" - "&amp;H22,'02'!B:B,'2026-3'!$I22)</f>
        <v>15992</v>
      </c>
      <c r="L22" s="105">
        <f>IF(K22-J22&lt;=0,"0",K22-J22)</f>
        <v>465</v>
      </c>
      <c r="M22" s="113">
        <f>SUMIFS(X:X,V:V,H22,W:W,I22)/COUNTIF(H:H,H22)</f>
        <v>188</v>
      </c>
      <c r="N22" s="110">
        <f>IFERROR(+L22-M22,"")</f>
        <v>277</v>
      </c>
      <c r="O22" s="105">
        <f>VALUE(+VLOOKUP(I22,'01'!C:K,9,FALSE))</f>
        <v>1.6799999999999999E-2</v>
      </c>
      <c r="P22" s="110">
        <f>+N22*O22</f>
        <v>4.6536</v>
      </c>
      <c r="Q22" s="131" cm="1">
        <f t="array" ref="Q22">_xlfn._xlws.FILTER(SAP!$B$2,1)/COUNTA($G$2:$G$85)</f>
        <v>51.681904761904761</v>
      </c>
      <c r="R22" s="133">
        <f>+SUM(P22:P25)</f>
        <v>17.0672</v>
      </c>
      <c r="S22">
        <v>943331308</v>
      </c>
      <c r="T22" s="140">
        <v>406</v>
      </c>
      <c r="U22" s="163">
        <v>2</v>
      </c>
    </row>
    <row r="23" spans="2:24" x14ac:dyDescent="0.25">
      <c r="B23" s="159"/>
      <c r="C23" s="159"/>
      <c r="D23" s="159"/>
      <c r="E23" s="159"/>
      <c r="F23" s="159"/>
      <c r="G23" s="159"/>
      <c r="H23" s="157"/>
      <c r="I23" s="105" t="s">
        <v>92</v>
      </c>
      <c r="J23" s="105">
        <f>+SUMIFS('02'!C:C,'02'!J:J,D22&amp;" - "&amp;C22&amp;" - "&amp;H22,'02'!B:B,'2026-3'!$I23)</f>
        <v>0</v>
      </c>
      <c r="K23" s="105">
        <f>+SUMIFS('02'!D:D,'02'!J:J,D22&amp;" - "&amp;C22&amp;" - "&amp;H22,'02'!B:B,'2026-3'!$I23)</f>
        <v>0</v>
      </c>
      <c r="L23" s="105" t="str">
        <f t="shared" ref="L23:L25" si="9">IF(K23-J23&lt;=0,"0",K23-J23)</f>
        <v>0</v>
      </c>
      <c r="M23" s="105"/>
      <c r="N23" s="110">
        <f t="shared" si="4"/>
        <v>0</v>
      </c>
      <c r="O23" s="105">
        <f>VALUE(+VLOOKUP(I23,'01'!C:K,9,FALSE))</f>
        <v>3.0099999999999998E-2</v>
      </c>
      <c r="P23" s="110">
        <f t="shared" si="5"/>
        <v>0</v>
      </c>
      <c r="Q23" s="133"/>
      <c r="R23" s="133"/>
      <c r="S23" s="133"/>
      <c r="T23" s="140"/>
      <c r="U23" s="163"/>
    </row>
    <row r="24" spans="2:24" x14ac:dyDescent="0.25">
      <c r="B24" s="159"/>
      <c r="C24" s="159"/>
      <c r="D24" s="159"/>
      <c r="E24" s="159"/>
      <c r="F24" s="159"/>
      <c r="G24" s="159"/>
      <c r="H24" s="157"/>
      <c r="I24" s="105" t="s">
        <v>95</v>
      </c>
      <c r="J24" s="105">
        <f>+SUMIFS('02'!C:C,'02'!J:J,D22&amp;" - "&amp;C22&amp;" - "&amp;H22,'02'!B:B,'2026-3'!$I24)</f>
        <v>14379</v>
      </c>
      <c r="K24" s="105">
        <f>+SUMIFS('02'!D:D,'02'!J:J,D22&amp;" - "&amp;C22&amp;" - "&amp;H22,'02'!B:B,'2026-3'!$I24)</f>
        <v>15205</v>
      </c>
      <c r="L24" s="105">
        <f t="shared" si="9"/>
        <v>826</v>
      </c>
      <c r="M24" s="113">
        <f>SUMIFS(X:X,V:V,$H22,W:W,I24)/COUNTIF(H:H,$H22)</f>
        <v>563</v>
      </c>
      <c r="N24" s="110">
        <f t="shared" si="4"/>
        <v>263</v>
      </c>
      <c r="O24" s="105">
        <f>VALUE(+VLOOKUP(I24,'01'!C:K,9,FALSE))</f>
        <v>4.7199999999999999E-2</v>
      </c>
      <c r="P24" s="110">
        <f>+N24*O24</f>
        <v>12.413599999999999</v>
      </c>
      <c r="U24" s="163"/>
    </row>
    <row r="25" spans="2:24" ht="15.75" thickBot="1" x14ac:dyDescent="0.3">
      <c r="B25" s="160"/>
      <c r="C25" s="160"/>
      <c r="D25" s="160"/>
      <c r="E25" s="160"/>
      <c r="F25" s="160"/>
      <c r="G25" s="160"/>
      <c r="H25" s="158"/>
      <c r="I25" s="106" t="s">
        <v>97</v>
      </c>
      <c r="J25" s="106">
        <f>+SUMIFS('02'!C:C,'02'!J:J,D22&amp;" - "&amp;C22&amp;" - "&amp;H22,'02'!B:B,'2026-3'!$I25)</f>
        <v>0</v>
      </c>
      <c r="K25" s="106">
        <f>+SUMIFS('02'!D:D,'02'!J:J,D22&amp;" - "&amp;C22&amp;" - "&amp;H22,'02'!B:B,'2026-3'!$I25)</f>
        <v>0</v>
      </c>
      <c r="L25" s="106" t="str">
        <f t="shared" si="9"/>
        <v>0</v>
      </c>
      <c r="M25" s="106"/>
      <c r="N25" s="111">
        <f t="shared" si="4"/>
        <v>0</v>
      </c>
      <c r="O25" s="106">
        <f>VALUE(+VLOOKUP(I25,'01'!C:K,9,FALSE))</f>
        <v>9.06E-2</v>
      </c>
      <c r="P25" s="111">
        <f t="shared" si="5"/>
        <v>0</v>
      </c>
      <c r="Q25" s="133"/>
      <c r="R25" s="133"/>
      <c r="S25" s="133"/>
      <c r="T25" s="140"/>
      <c r="U25" s="163"/>
    </row>
    <row r="26" spans="2:24" ht="15.75" thickTop="1" x14ac:dyDescent="0.25">
      <c r="B26" s="159"/>
      <c r="C26" s="159" t="s">
        <v>251</v>
      </c>
      <c r="D26" s="161" t="s">
        <v>32</v>
      </c>
      <c r="E26" s="159" t="s">
        <v>189</v>
      </c>
      <c r="F26" s="159" t="s">
        <v>190</v>
      </c>
      <c r="G26" s="159">
        <v>1</v>
      </c>
      <c r="H26" s="157" t="s">
        <v>250</v>
      </c>
      <c r="I26" s="105" t="s">
        <v>88</v>
      </c>
      <c r="J26" s="105">
        <f>+SUMIFS('02'!C:C,'02'!J:J,D26&amp;" - "&amp;C26&amp;" - "&amp;H26,'02'!B:B,'2026-3'!$I26)</f>
        <v>83188</v>
      </c>
      <c r="K26" s="105">
        <f>+SUMIFS('02'!D:D,'02'!J:J,D26&amp;" - "&amp;C26&amp;" - "&amp;H26,'02'!B:B,'2026-3'!$I26)</f>
        <v>83943</v>
      </c>
      <c r="L26" s="105">
        <f>IF(K26-J26&lt;=0,"0",K26-J26)</f>
        <v>755</v>
      </c>
      <c r="M26" s="113">
        <f>SUMIFS(X:X,V:V,H26,W:W,I26)/COUNTIF(H:H,H26)</f>
        <v>188</v>
      </c>
      <c r="N26" s="110">
        <f>IFERROR(+L26-M26,"")</f>
        <v>567</v>
      </c>
      <c r="O26" s="105">
        <f>VALUE(+VLOOKUP(I26,'01'!C:K,9,FALSE))</f>
        <v>1.6799999999999999E-2</v>
      </c>
      <c r="P26" s="110">
        <f>+N26*O26</f>
        <v>9.525599999999999</v>
      </c>
      <c r="Q26" s="131" cm="1">
        <f t="array" ref="Q26">_xlfn._xlws.FILTER(SAP!$B$2,1)/COUNTA($G$2:$G$85)</f>
        <v>51.681904761904761</v>
      </c>
      <c r="R26" s="133">
        <f>+SUM(P26:P29)</f>
        <v>81.977599999999995</v>
      </c>
      <c r="S26">
        <v>932341308</v>
      </c>
      <c r="T26" s="140">
        <v>206</v>
      </c>
      <c r="U26" s="163">
        <v>2</v>
      </c>
    </row>
    <row r="27" spans="2:24" x14ac:dyDescent="0.25">
      <c r="B27" s="159"/>
      <c r="C27" s="159"/>
      <c r="D27" s="159"/>
      <c r="E27" s="159"/>
      <c r="F27" s="159"/>
      <c r="G27" s="159"/>
      <c r="H27" s="157"/>
      <c r="I27" s="105" t="s">
        <v>92</v>
      </c>
      <c r="J27" s="105">
        <f>+SUMIFS('02'!C:C,'02'!J:J,D26&amp;" - "&amp;C26&amp;" - "&amp;H26,'02'!B:B,'2026-3'!$I27)</f>
        <v>0</v>
      </c>
      <c r="K27" s="105">
        <f>+SUMIFS('02'!D:D,'02'!J:J,D26&amp;" - "&amp;C26&amp;" - "&amp;H26,'02'!B:B,'2026-3'!$I27)</f>
        <v>0</v>
      </c>
      <c r="L27" s="105" t="str">
        <f t="shared" ref="L27:L29" si="10">IF(K27-J27&lt;=0,"0",K27-J27)</f>
        <v>0</v>
      </c>
      <c r="M27" s="105"/>
      <c r="N27" s="110">
        <f t="shared" si="4"/>
        <v>0</v>
      </c>
      <c r="O27" s="105">
        <f>VALUE(+VLOOKUP(I27,'01'!C:K,9,FALSE))</f>
        <v>3.0099999999999998E-2</v>
      </c>
      <c r="P27" s="110">
        <f t="shared" si="5"/>
        <v>0</v>
      </c>
      <c r="Q27" s="133"/>
      <c r="R27" s="133"/>
      <c r="S27" s="133"/>
      <c r="T27" s="140"/>
      <c r="U27" s="163"/>
      <c r="W27" t="s">
        <v>87</v>
      </c>
    </row>
    <row r="28" spans="2:24" x14ac:dyDescent="0.25">
      <c r="B28" s="159"/>
      <c r="C28" s="159"/>
      <c r="D28" s="159"/>
      <c r="E28" s="159"/>
      <c r="F28" s="159"/>
      <c r="G28" s="159"/>
      <c r="H28" s="157"/>
      <c r="I28" s="105" t="s">
        <v>95</v>
      </c>
      <c r="J28" s="105">
        <f>+SUMIFS('02'!C:C,'02'!J:J,D26&amp;" - "&amp;C26&amp;" - "&amp;H26,'02'!B:B,'2026-3'!$I28)</f>
        <v>18110</v>
      </c>
      <c r="K28" s="105">
        <f>+SUMIFS('02'!D:D,'02'!J:J,D26&amp;" - "&amp;C26&amp;" - "&amp;H26,'02'!B:B,'2026-3'!$I28)</f>
        <v>20208</v>
      </c>
      <c r="L28" s="105">
        <f t="shared" si="10"/>
        <v>2098</v>
      </c>
      <c r="M28" s="113">
        <f>SUMIFS(X:X,V:V,$H26,W:W,I28)/COUNTIF(H:H,$H26)</f>
        <v>563</v>
      </c>
      <c r="N28" s="110">
        <f t="shared" si="4"/>
        <v>1535</v>
      </c>
      <c r="O28" s="105">
        <f>VALUE(+VLOOKUP(I28,'01'!C:K,9,FALSE))</f>
        <v>4.7199999999999999E-2</v>
      </c>
      <c r="P28" s="110">
        <f>+N28*O28</f>
        <v>72.451999999999998</v>
      </c>
      <c r="U28" s="163"/>
      <c r="W28" t="str">
        <f>D30&amp;" - "&amp;C30&amp;" - "&amp;H30</f>
        <v xml:space="preserve">X3B7003661 - WF-C5790 - </v>
      </c>
    </row>
    <row r="29" spans="2:24" ht="15.75" thickBot="1" x14ac:dyDescent="0.3">
      <c r="B29" s="160"/>
      <c r="C29" s="160"/>
      <c r="D29" s="160"/>
      <c r="E29" s="160"/>
      <c r="F29" s="160"/>
      <c r="G29" s="160"/>
      <c r="H29" s="158"/>
      <c r="I29" s="106" t="s">
        <v>97</v>
      </c>
      <c r="J29" s="106">
        <f>+SUMIFS('02'!C:C,'02'!J:J,D26&amp;" - "&amp;C26&amp;" - "&amp;H26,'02'!B:B,'2026-3'!$I29)</f>
        <v>0</v>
      </c>
      <c r="K29" s="106">
        <f>+SUMIFS('02'!D:D,'02'!J:J,D26&amp;" - "&amp;C26&amp;" - "&amp;H26,'02'!B:B,'2026-3'!$I29)</f>
        <v>0</v>
      </c>
      <c r="L29" s="106" t="str">
        <f t="shared" si="10"/>
        <v>0</v>
      </c>
      <c r="M29" s="106"/>
      <c r="N29" s="111">
        <f t="shared" si="4"/>
        <v>0</v>
      </c>
      <c r="O29" s="106">
        <f>VALUE(+VLOOKUP(I29,'01'!C:K,9,FALSE))</f>
        <v>9.06E-2</v>
      </c>
      <c r="P29" s="111">
        <f t="shared" si="5"/>
        <v>0</v>
      </c>
      <c r="Q29" s="133"/>
      <c r="R29" s="133"/>
      <c r="S29" s="133"/>
      <c r="T29" s="140"/>
      <c r="U29" s="163"/>
    </row>
    <row r="30" spans="2:24" ht="15.75" thickTop="1" x14ac:dyDescent="0.25">
      <c r="B30" s="159"/>
      <c r="C30" s="159" t="s">
        <v>251</v>
      </c>
      <c r="D30" s="161" t="s">
        <v>11</v>
      </c>
      <c r="E30" s="164" t="s">
        <v>191</v>
      </c>
      <c r="F30" s="164" t="s">
        <v>192</v>
      </c>
      <c r="G30" s="164">
        <v>1</v>
      </c>
      <c r="H30" s="166"/>
      <c r="I30" s="119" t="s">
        <v>88</v>
      </c>
      <c r="J30" s="119">
        <f>+SUMIFS('02'!C:C,'02'!J:J,D30&amp;" - "&amp;C30,'02'!B:B,'2026-3'!$I30)</f>
        <v>13075</v>
      </c>
      <c r="K30" s="119">
        <f>+SUMIFS('02'!D:D,'02'!J:J,D30&amp;" - "&amp;C30,'02'!B:B,'2026-3'!$I30)</f>
        <v>20147</v>
      </c>
      <c r="L30" s="119">
        <f>IF(K30-J30&lt;=0,"0",K30-J30)</f>
        <v>7072</v>
      </c>
      <c r="M30" s="120" t="str">
        <f>IFERROR(+SUMIFS(X:X,V:V,H30,W:W,I30)/COUNTIF(H:H,H30),"")</f>
        <v/>
      </c>
      <c r="N30" s="121" t="str">
        <f>IFERROR(+L30-M30,"")</f>
        <v/>
      </c>
      <c r="O30" s="119">
        <f>VALUE(+VLOOKUP(I30,'01'!C:K,9,FALSE))</f>
        <v>1.6799999999999999E-2</v>
      </c>
      <c r="P30" s="121">
        <f>+O30*L30</f>
        <v>118.80959999999999</v>
      </c>
      <c r="Q30" s="131" cm="1">
        <f t="array" ref="Q30">_xlfn._xlws.FILTER(SAP!$B$2,1)/COUNTA($G$2:$G$85)</f>
        <v>51.681904761904761</v>
      </c>
      <c r="R30" s="133">
        <f>SUM(P30:P33)</f>
        <v>437.36239999999998</v>
      </c>
      <c r="S30">
        <v>932341308</v>
      </c>
      <c r="T30" s="140">
        <v>200</v>
      </c>
      <c r="U30" s="104"/>
      <c r="W30" t="b">
        <f>+EXACT(W28,W27)</f>
        <v>0</v>
      </c>
    </row>
    <row r="31" spans="2:24" x14ac:dyDescent="0.25">
      <c r="B31" s="159"/>
      <c r="C31" s="159"/>
      <c r="D31" s="159"/>
      <c r="E31" s="164"/>
      <c r="F31" s="164"/>
      <c r="G31" s="164"/>
      <c r="H31" s="166"/>
      <c r="I31" s="119" t="s">
        <v>92</v>
      </c>
      <c r="J31" s="119">
        <f>+SUMIFS('02'!C:C,'02'!J:J,D30&amp;" - "&amp;C30,'02'!B:B,'2026-3'!$I31)</f>
        <v>0</v>
      </c>
      <c r="K31" s="119">
        <f>+SUMIFS('02'!D:D,'02'!J:J,D30&amp;" - "&amp;C30,'02'!B:B,'2026-3'!$I31)</f>
        <v>0</v>
      </c>
      <c r="L31" s="119" t="str">
        <f>IF(K31-J31&lt;=0,"0",K31-J31)</f>
        <v>0</v>
      </c>
      <c r="M31" s="119"/>
      <c r="N31" s="121">
        <f t="shared" si="4"/>
        <v>0</v>
      </c>
      <c r="O31" s="119">
        <f>VALUE(+VLOOKUP(I31,'01'!C:K,9,FALSE))</f>
        <v>3.0099999999999998E-2</v>
      </c>
      <c r="P31" s="121">
        <f>+O31*L31</f>
        <v>0</v>
      </c>
      <c r="Q31" s="132"/>
      <c r="R31" s="132"/>
      <c r="S31" s="132"/>
      <c r="T31" s="142"/>
      <c r="U31" s="104"/>
    </row>
    <row r="32" spans="2:24" x14ac:dyDescent="0.25">
      <c r="B32" s="159"/>
      <c r="C32" s="159"/>
      <c r="D32" s="159"/>
      <c r="E32" s="164"/>
      <c r="F32" s="164"/>
      <c r="G32" s="164"/>
      <c r="H32" s="166"/>
      <c r="I32" s="119" t="s">
        <v>95</v>
      </c>
      <c r="J32" s="119">
        <f>+SUMIFS('02'!C:C,'02'!J:J,D30&amp;" - "&amp;C30,'02'!B:B,'2026-3'!$I32)</f>
        <v>6457</v>
      </c>
      <c r="K32" s="119">
        <f>+SUMIFS('02'!D:D,'02'!J:J,D30&amp;" - "&amp;C30,'02'!B:B,'2026-3'!$I32)</f>
        <v>13206</v>
      </c>
      <c r="L32" s="119">
        <f>IF(K32-J32&lt;=0,"0",K32-J32)</f>
        <v>6749</v>
      </c>
      <c r="M32" s="120" t="str">
        <f>IFERROR(+SUMIFS(X:X,V:V,$H30,W:W,I32)/COUNTIF(H:H,$H30),"")</f>
        <v/>
      </c>
      <c r="N32" s="121" t="str">
        <f t="shared" si="4"/>
        <v/>
      </c>
      <c r="O32" s="119">
        <f>VALUE(+VLOOKUP(I32,'01'!C:K,9,FALSE))</f>
        <v>4.7199999999999999E-2</v>
      </c>
      <c r="P32" s="121">
        <f>+O32*L32</f>
        <v>318.55279999999999</v>
      </c>
      <c r="U32" s="104"/>
    </row>
    <row r="33" spans="2:21" ht="15.75" thickBot="1" x14ac:dyDescent="0.3">
      <c r="B33" s="160"/>
      <c r="C33" s="160"/>
      <c r="D33" s="160"/>
      <c r="E33" s="165"/>
      <c r="F33" s="165"/>
      <c r="G33" s="165"/>
      <c r="H33" s="167"/>
      <c r="I33" s="122" t="s">
        <v>97</v>
      </c>
      <c r="J33" s="122">
        <f>+SUMIFS('02'!C:C,'02'!J:J,D30&amp;" - "&amp;C30,'02'!B:B,'2026-3'!$I33)</f>
        <v>0</v>
      </c>
      <c r="K33" s="122">
        <f>+SUMIFS('02'!D:D,'02'!J:J,D30&amp;" - "&amp;C30,'02'!B:B,'2026-3'!$I33)</f>
        <v>0</v>
      </c>
      <c r="L33" s="122" t="str">
        <f>IF(K33-J33&lt;=0,"0",K33-J33)</f>
        <v>0</v>
      </c>
      <c r="M33" s="122"/>
      <c r="N33" s="123">
        <f t="shared" si="4"/>
        <v>0</v>
      </c>
      <c r="O33" s="122">
        <f>VALUE(+VLOOKUP(I33,'01'!C:K,9,FALSE))</f>
        <v>9.06E-2</v>
      </c>
      <c r="P33" s="123">
        <f>+O33*L33</f>
        <v>0</v>
      </c>
      <c r="Q33" s="132"/>
      <c r="R33" s="132"/>
      <c r="S33" s="132"/>
      <c r="T33" s="142"/>
      <c r="U33" s="104"/>
    </row>
    <row r="34" spans="2:21" ht="15.75" thickTop="1" x14ac:dyDescent="0.25">
      <c r="B34" s="159"/>
      <c r="C34" s="159" t="s">
        <v>251</v>
      </c>
      <c r="D34" s="161" t="s">
        <v>14</v>
      </c>
      <c r="E34" s="159" t="s">
        <v>193</v>
      </c>
      <c r="F34" s="159" t="s">
        <v>194</v>
      </c>
      <c r="G34" s="159">
        <v>1</v>
      </c>
      <c r="H34" s="157" t="s">
        <v>250</v>
      </c>
      <c r="I34" s="105" t="s">
        <v>88</v>
      </c>
      <c r="J34" s="105">
        <f>+SUMIFS('02'!C:C,'02'!J:J,D34&amp;" - "&amp;C34&amp;" - "&amp;H34,'02'!B:B,'2026-3'!$I34)</f>
        <v>9497</v>
      </c>
      <c r="K34" s="105">
        <f>+SUMIFS('02'!D:D,'02'!J:J,D34&amp;" - "&amp;C34&amp;" - "&amp;H34,'02'!B:B,'2026-3'!$I34)</f>
        <v>9830</v>
      </c>
      <c r="L34" s="105">
        <f>IF(K34-J34&lt;=0,"0",K34-J34)</f>
        <v>333</v>
      </c>
      <c r="M34" s="113">
        <f>SUMIFS(X:X,V:V,H34,W:W,I34)/COUNTIF(H:H,H34)</f>
        <v>188</v>
      </c>
      <c r="N34" s="110">
        <f>IFERROR(+L34-M34,"")</f>
        <v>145</v>
      </c>
      <c r="O34" s="105">
        <f>VALUE(+VLOOKUP(I34,'01'!C:K,9,FALSE))</f>
        <v>1.6799999999999999E-2</v>
      </c>
      <c r="P34" s="110">
        <f>+N34*O34</f>
        <v>2.4359999999999999</v>
      </c>
      <c r="Q34" s="131" cm="1">
        <f t="array" ref="Q34">_xlfn._xlws.FILTER(SAP!$B$2,1)/COUNTA($G$2:$G$85)</f>
        <v>51.681904761904761</v>
      </c>
      <c r="R34" s="133">
        <f>+SUM(P34:P37)</f>
        <v>1.8695999999999999</v>
      </c>
      <c r="S34">
        <v>932341308</v>
      </c>
      <c r="T34" s="140">
        <v>204</v>
      </c>
    </row>
    <row r="35" spans="2:21" x14ac:dyDescent="0.25">
      <c r="B35" s="159"/>
      <c r="C35" s="159"/>
      <c r="D35" s="159"/>
      <c r="E35" s="159"/>
      <c r="F35" s="159"/>
      <c r="G35" s="159"/>
      <c r="H35" s="157"/>
      <c r="I35" s="105" t="s">
        <v>92</v>
      </c>
      <c r="J35" s="105">
        <f>+SUMIFS('02'!C:C,'02'!J:J,D34&amp;" - "&amp;C34&amp;" - "&amp;H34,'02'!B:B,'2026-3'!$I35)</f>
        <v>0</v>
      </c>
      <c r="K35" s="105">
        <f>+SUMIFS('02'!D:D,'02'!J:J,D34&amp;" - "&amp;C34&amp;" - "&amp;H34,'02'!B:B,'2026-3'!$I35)</f>
        <v>0</v>
      </c>
      <c r="L35" s="105" t="str">
        <f t="shared" ref="L35:L37" si="11">IF(K35-J35&lt;=0,"0",K35-J35)</f>
        <v>0</v>
      </c>
      <c r="M35" s="105"/>
      <c r="N35" s="110">
        <f t="shared" si="4"/>
        <v>0</v>
      </c>
      <c r="O35" s="105">
        <f>VALUE(+VLOOKUP(I35,'01'!C:K,9,FALSE))</f>
        <v>3.0099999999999998E-2</v>
      </c>
      <c r="P35" s="110">
        <f t="shared" ref="P35:P37" si="12">+N35*O35</f>
        <v>0</v>
      </c>
      <c r="Q35" s="133"/>
      <c r="R35" s="133"/>
      <c r="S35" s="133"/>
      <c r="T35" s="140"/>
    </row>
    <row r="36" spans="2:21" x14ac:dyDescent="0.25">
      <c r="B36" s="159"/>
      <c r="C36" s="159"/>
      <c r="D36" s="159"/>
      <c r="E36" s="159"/>
      <c r="F36" s="159"/>
      <c r="G36" s="159"/>
      <c r="H36" s="157"/>
      <c r="I36" s="105" t="s">
        <v>95</v>
      </c>
      <c r="J36" s="105">
        <f>+SUMIFS('02'!C:C,'02'!J:J,D34&amp;" - "&amp;C34&amp;" - "&amp;H34,'02'!B:B,'2026-3'!$I36)</f>
        <v>4511</v>
      </c>
      <c r="K36" s="105">
        <f>+SUMIFS('02'!D:D,'02'!J:J,D34&amp;" - "&amp;C34&amp;" - "&amp;H34,'02'!B:B,'2026-3'!$I36)</f>
        <v>5062</v>
      </c>
      <c r="L36" s="105">
        <f t="shared" si="11"/>
        <v>551</v>
      </c>
      <c r="M36" s="113">
        <f>SUMIFS(X:X,V:V,$H34,W:W,I36)/COUNTIF(H:H,$H34)</f>
        <v>563</v>
      </c>
      <c r="N36" s="110">
        <f t="shared" si="4"/>
        <v>-12</v>
      </c>
      <c r="O36" s="105">
        <f>VALUE(+VLOOKUP(I36,'01'!C:K,9,FALSE))</f>
        <v>4.7199999999999999E-2</v>
      </c>
      <c r="P36" s="110">
        <f>+N36*O36</f>
        <v>-0.56640000000000001</v>
      </c>
    </row>
    <row r="37" spans="2:21" ht="15.75" thickBot="1" x14ac:dyDescent="0.3">
      <c r="B37" s="160"/>
      <c r="C37" s="160"/>
      <c r="D37" s="160"/>
      <c r="E37" s="160"/>
      <c r="F37" s="160"/>
      <c r="G37" s="160"/>
      <c r="H37" s="158"/>
      <c r="I37" s="106" t="s">
        <v>97</v>
      </c>
      <c r="J37" s="106">
        <f>+SUMIFS('02'!C:C,'02'!J:J,D34&amp;" - "&amp;C34&amp;" - "&amp;H34,'02'!B:B,'2026-3'!$I37)</f>
        <v>0</v>
      </c>
      <c r="K37" s="106">
        <f>+SUMIFS('02'!D:D,'02'!J:J,D34&amp;" - "&amp;C34&amp;" - "&amp;H34,'02'!B:B,'2026-3'!$I37)</f>
        <v>0</v>
      </c>
      <c r="L37" s="106" t="str">
        <f t="shared" si="11"/>
        <v>0</v>
      </c>
      <c r="M37" s="106"/>
      <c r="N37" s="111">
        <f t="shared" si="4"/>
        <v>0</v>
      </c>
      <c r="O37" s="106">
        <f>VALUE(+VLOOKUP(I37,'01'!C:K,9,FALSE))</f>
        <v>9.06E-2</v>
      </c>
      <c r="P37" s="111">
        <f t="shared" si="12"/>
        <v>0</v>
      </c>
      <c r="Q37" s="133"/>
      <c r="R37" s="133"/>
      <c r="S37" s="133"/>
      <c r="T37" s="140"/>
    </row>
    <row r="38" spans="2:21" ht="15.75" thickTop="1" x14ac:dyDescent="0.25">
      <c r="B38" s="159"/>
      <c r="C38" s="159" t="s">
        <v>251</v>
      </c>
      <c r="D38" s="161" t="s">
        <v>20</v>
      </c>
      <c r="E38" s="159" t="s">
        <v>195</v>
      </c>
      <c r="F38" s="159" t="s">
        <v>196</v>
      </c>
      <c r="G38" s="159">
        <v>1</v>
      </c>
      <c r="H38" s="157" t="s">
        <v>250</v>
      </c>
      <c r="I38" s="105" t="s">
        <v>88</v>
      </c>
      <c r="J38" s="105">
        <f>+SUMIFS('02'!C:C,'02'!J:J,D38&amp;" - "&amp;C38&amp;" - "&amp;H38,'02'!B:B,'2026-3'!$I38)</f>
        <v>85135</v>
      </c>
      <c r="K38" s="105">
        <f>+SUMIFS('02'!D:D,'02'!J:J,D38&amp;" - "&amp;C38&amp;" - "&amp;H38,'02'!B:B,'2026-3'!$I38)</f>
        <v>88863</v>
      </c>
      <c r="L38" s="105">
        <f>IF(K38-J38&lt;=0,"0",K38-J38)</f>
        <v>3728</v>
      </c>
      <c r="M38" s="113">
        <f>1504/COUNTIF(H:H,"Bolsa 2")</f>
        <v>188</v>
      </c>
      <c r="N38" s="110">
        <f>IFERROR(+L38-M38,"")</f>
        <v>3540</v>
      </c>
      <c r="O38" s="105">
        <f>VALUE(+VLOOKUP(I38,'01'!C:K,9,FALSE))</f>
        <v>1.6799999999999999E-2</v>
      </c>
      <c r="P38" s="110">
        <f>+N38*O38</f>
        <v>59.471999999999994</v>
      </c>
      <c r="Q38" s="131" cm="1">
        <f t="array" ref="Q38">_xlfn._xlws.FILTER(SAP!$B$2,1)/COUNTA($G$2:$G$85)</f>
        <v>51.681904761904761</v>
      </c>
      <c r="R38" s="133">
        <f>+SUM(P38:P41)</f>
        <v>55.459999999999994</v>
      </c>
      <c r="S38">
        <v>933441108</v>
      </c>
      <c r="T38" s="140">
        <v>304</v>
      </c>
    </row>
    <row r="39" spans="2:21" x14ac:dyDescent="0.25">
      <c r="B39" s="159"/>
      <c r="C39" s="159"/>
      <c r="D39" s="159"/>
      <c r="E39" s="159"/>
      <c r="F39" s="159"/>
      <c r="G39" s="159"/>
      <c r="H39" s="157"/>
      <c r="I39" s="105" t="s">
        <v>92</v>
      </c>
      <c r="J39" s="105">
        <f>+SUMIFS('02'!C:C,'02'!J:J,D38&amp;" - "&amp;C38&amp;" - "&amp;H38,'02'!B:B,'2026-3'!$I39)</f>
        <v>0</v>
      </c>
      <c r="K39" s="105">
        <f>+SUMIFS('02'!D:D,'02'!J:J,D38&amp;" - "&amp;C38&amp;" - "&amp;H38,'02'!B:B,'2026-3'!$I39)</f>
        <v>0</v>
      </c>
      <c r="L39" s="105" t="str">
        <f t="shared" ref="L39:L41" si="13">IF(K39-J39&lt;=0,"0",K39-J39)</f>
        <v>0</v>
      </c>
      <c r="M39" s="105"/>
      <c r="N39" s="110">
        <f t="shared" si="4"/>
        <v>0</v>
      </c>
      <c r="O39" s="105">
        <f>VALUE(+VLOOKUP(I39,'01'!C:K,9,FALSE))</f>
        <v>3.0099999999999998E-2</v>
      </c>
      <c r="P39" s="110">
        <f t="shared" ref="P39:P41" si="14">+N39*O39</f>
        <v>0</v>
      </c>
    </row>
    <row r="40" spans="2:21" x14ac:dyDescent="0.25">
      <c r="B40" s="159"/>
      <c r="C40" s="159"/>
      <c r="D40" s="159"/>
      <c r="E40" s="159"/>
      <c r="F40" s="159"/>
      <c r="G40" s="159"/>
      <c r="H40" s="157"/>
      <c r="I40" s="105" t="s">
        <v>95</v>
      </c>
      <c r="J40" s="105">
        <f>+SUMIFS('02'!C:C,'02'!J:J,D38&amp;" - "&amp;C38&amp;" - "&amp;H38,'02'!B:B,'2026-3'!$I40)</f>
        <v>9094</v>
      </c>
      <c r="K40" s="105">
        <f>+SUMIFS('02'!D:D,'02'!J:J,D38&amp;" - "&amp;C38&amp;" - "&amp;H38,'02'!B:B,'2026-3'!$I40)</f>
        <v>9572</v>
      </c>
      <c r="L40" s="105">
        <f t="shared" si="13"/>
        <v>478</v>
      </c>
      <c r="M40" s="113">
        <f>SUMIFS(X:X,V:V,$H38,W:W,I40)/COUNTIF(H:H,$H38)</f>
        <v>563</v>
      </c>
      <c r="N40" s="110">
        <f t="shared" si="4"/>
        <v>-85</v>
      </c>
      <c r="O40" s="105">
        <f>VALUE(+VLOOKUP(I40,'01'!C:K,9,FALSE))</f>
        <v>4.7199999999999999E-2</v>
      </c>
      <c r="P40" s="110">
        <f>+N40*O40</f>
        <v>-4.0119999999999996</v>
      </c>
      <c r="Q40" s="133"/>
      <c r="R40" s="133"/>
      <c r="S40" s="133"/>
      <c r="T40" s="140"/>
    </row>
    <row r="41" spans="2:21" ht="15.75" thickBot="1" x14ac:dyDescent="0.3">
      <c r="B41" s="160"/>
      <c r="C41" s="160"/>
      <c r="D41" s="160"/>
      <c r="E41" s="160"/>
      <c r="F41" s="160"/>
      <c r="G41" s="160"/>
      <c r="H41" s="158"/>
      <c r="I41" s="106" t="s">
        <v>97</v>
      </c>
      <c r="J41" s="106">
        <f>+SUMIFS('02'!C:C,'02'!J:J,D38&amp;" - "&amp;C38&amp;" - "&amp;H38,'02'!B:B,'2026-3'!$I41)</f>
        <v>0</v>
      </c>
      <c r="K41" s="106">
        <f>+SUMIFS('02'!D:D,'02'!J:J,D38&amp;" - "&amp;C38&amp;" - "&amp;H38,'02'!B:B,'2026-3'!$I41)</f>
        <v>0</v>
      </c>
      <c r="L41" s="106" t="str">
        <f t="shared" si="13"/>
        <v>0</v>
      </c>
      <c r="M41" s="106"/>
      <c r="N41" s="111">
        <f t="shared" si="4"/>
        <v>0</v>
      </c>
      <c r="O41" s="106">
        <f>VALUE(+VLOOKUP(I41,'01'!C:K,9,FALSE))</f>
        <v>9.06E-2</v>
      </c>
      <c r="P41" s="111">
        <f t="shared" si="14"/>
        <v>0</v>
      </c>
      <c r="Q41" s="133"/>
      <c r="R41" s="133"/>
      <c r="S41" s="133"/>
      <c r="T41" s="140"/>
    </row>
    <row r="42" spans="2:21" ht="15.75" thickTop="1" x14ac:dyDescent="0.25">
      <c r="B42" s="159"/>
      <c r="C42" s="159" t="s">
        <v>251</v>
      </c>
      <c r="D42" s="161" t="s">
        <v>27</v>
      </c>
      <c r="E42" s="159" t="s">
        <v>197</v>
      </c>
      <c r="F42" s="159" t="s">
        <v>198</v>
      </c>
      <c r="G42" s="159">
        <v>1</v>
      </c>
      <c r="H42" s="157" t="s">
        <v>250</v>
      </c>
      <c r="I42" s="105" t="s">
        <v>88</v>
      </c>
      <c r="J42" s="105">
        <f>+SUMIFS('02'!C:C,'02'!J:J,D42&amp;" - "&amp;C42&amp;" - "&amp;H42,'02'!B:B,'2026-3'!$I42)</f>
        <v>129700</v>
      </c>
      <c r="K42" s="105">
        <f>+SUMIFS('02'!D:D,'02'!J:J,D42&amp;" - "&amp;C42&amp;" - "&amp;H42,'02'!B:B,'2026-3'!$I42)</f>
        <v>131931</v>
      </c>
      <c r="L42" s="105">
        <f>IF(K42-J42&lt;=0,"0",K42-J42)</f>
        <v>2231</v>
      </c>
      <c r="M42" s="113">
        <f>SUMIFS(X:X,V:V,H42,W:W,I42)/COUNTIF(H:H,H42)</f>
        <v>188</v>
      </c>
      <c r="N42" s="110">
        <f>IFERROR(+L42-M42,"")</f>
        <v>2043</v>
      </c>
      <c r="O42" s="105">
        <f>VALUE(+VLOOKUP(I42,'01'!C:K,9,FALSE))</f>
        <v>1.6799999999999999E-2</v>
      </c>
      <c r="P42" s="110">
        <f>+N42*O42</f>
        <v>34.322399999999995</v>
      </c>
      <c r="Q42" s="131" cm="1">
        <f t="array" ref="Q42">_xlfn._xlws.FILTER(SAP!$B$2,1)/COUNTA($G$2:$G$85)</f>
        <v>51.681904761904761</v>
      </c>
      <c r="R42" s="133">
        <f>+SUM(P42:P45)</f>
        <v>44.706399999999995</v>
      </c>
      <c r="S42">
        <v>931221108</v>
      </c>
      <c r="T42" s="140">
        <v>101</v>
      </c>
      <c r="U42">
        <f>13075-20147</f>
        <v>-7072</v>
      </c>
    </row>
    <row r="43" spans="2:21" x14ac:dyDescent="0.25">
      <c r="B43" s="159"/>
      <c r="C43" s="159"/>
      <c r="D43" s="159"/>
      <c r="E43" s="159"/>
      <c r="F43" s="159"/>
      <c r="G43" s="159"/>
      <c r="H43" s="157"/>
      <c r="I43" s="105" t="s">
        <v>92</v>
      </c>
      <c r="J43" s="105">
        <f>+SUMIFS('02'!C:C,'02'!J:J,D42&amp;" - "&amp;C42&amp;" - "&amp;H42,'02'!B:B,'2026-3'!$I43)</f>
        <v>0</v>
      </c>
      <c r="K43" s="105">
        <f>+SUMIFS('02'!D:D,'02'!J:J,D42&amp;" - "&amp;C42&amp;" - "&amp;H42,'02'!B:B,'2026-3'!$I43)</f>
        <v>0</v>
      </c>
      <c r="L43" s="105" t="str">
        <f t="shared" ref="L43:L45" si="15">IF(K43-J43&lt;=0,"0",K43-J43)</f>
        <v>0</v>
      </c>
      <c r="M43" s="105"/>
      <c r="N43" s="110">
        <f t="shared" si="4"/>
        <v>0</v>
      </c>
      <c r="O43" s="105">
        <f>VALUE(+VLOOKUP(I43,'01'!C:K,9,FALSE))</f>
        <v>3.0099999999999998E-2</v>
      </c>
      <c r="P43" s="110">
        <f t="shared" ref="P43:P45" si="16">+N43*O43</f>
        <v>0</v>
      </c>
    </row>
    <row r="44" spans="2:21" x14ac:dyDescent="0.25">
      <c r="B44" s="159"/>
      <c r="C44" s="159"/>
      <c r="D44" s="159"/>
      <c r="E44" s="159"/>
      <c r="F44" s="159"/>
      <c r="G44" s="159"/>
      <c r="H44" s="157"/>
      <c r="I44" s="105" t="s">
        <v>95</v>
      </c>
      <c r="J44" s="105">
        <f>+SUMIFS('02'!C:C,'02'!J:J,D42&amp;" - "&amp;C42&amp;" - "&amp;H42,'02'!B:B,'2026-3'!$I44)</f>
        <v>23452</v>
      </c>
      <c r="K44" s="105">
        <f>+SUMIFS('02'!D:D,'02'!J:J,D42&amp;" - "&amp;C42&amp;" - "&amp;H42,'02'!B:B,'2026-3'!$I44)</f>
        <v>24235</v>
      </c>
      <c r="L44" s="105">
        <f t="shared" si="15"/>
        <v>783</v>
      </c>
      <c r="M44" s="113">
        <f>SUMIFS(X:X,V:V,$H42,W:W,I44)/COUNTIF(H:H,$H42)</f>
        <v>563</v>
      </c>
      <c r="N44" s="110">
        <f t="shared" si="4"/>
        <v>220</v>
      </c>
      <c r="O44" s="105">
        <f>VALUE(+VLOOKUP(I44,'01'!C:K,9,FALSE))</f>
        <v>4.7199999999999999E-2</v>
      </c>
      <c r="P44" s="110">
        <f>+N44*O44</f>
        <v>10.384</v>
      </c>
      <c r="Q44" s="133"/>
      <c r="R44" s="133"/>
      <c r="S44" s="133"/>
      <c r="T44" s="140"/>
    </row>
    <row r="45" spans="2:21" ht="15.75" thickBot="1" x14ac:dyDescent="0.3">
      <c r="B45" s="160"/>
      <c r="C45" s="160"/>
      <c r="D45" s="160"/>
      <c r="E45" s="160"/>
      <c r="F45" s="160"/>
      <c r="G45" s="160"/>
      <c r="H45" s="158"/>
      <c r="I45" s="106" t="s">
        <v>97</v>
      </c>
      <c r="J45" s="106">
        <f>+SUMIFS('02'!C:C,'02'!J:J,D42&amp;" - "&amp;C42&amp;" - "&amp;H42,'02'!B:B,'2026-3'!$I45)</f>
        <v>0</v>
      </c>
      <c r="K45" s="106">
        <f>+SUMIFS('02'!D:D,'02'!J:J,D42&amp;" - "&amp;C42&amp;" - "&amp;H42,'02'!B:B,'2026-3'!$I45)</f>
        <v>0</v>
      </c>
      <c r="L45" s="106" t="str">
        <f t="shared" si="15"/>
        <v>0</v>
      </c>
      <c r="M45" s="106"/>
      <c r="N45" s="111">
        <f t="shared" si="4"/>
        <v>0</v>
      </c>
      <c r="O45" s="106">
        <f>VALUE(+VLOOKUP(I45,'01'!C:K,9,FALSE))</f>
        <v>9.06E-2</v>
      </c>
      <c r="P45" s="111">
        <f t="shared" si="16"/>
        <v>0</v>
      </c>
      <c r="Q45" s="133"/>
      <c r="R45" s="133"/>
      <c r="S45" s="133"/>
      <c r="T45" s="140"/>
    </row>
    <row r="46" spans="2:21" ht="15.75" thickTop="1" x14ac:dyDescent="0.25">
      <c r="B46" s="159"/>
      <c r="C46" s="159" t="s">
        <v>251</v>
      </c>
      <c r="D46" s="161" t="s">
        <v>5</v>
      </c>
      <c r="E46" s="159" t="s">
        <v>199</v>
      </c>
      <c r="F46" s="159" t="s">
        <v>200</v>
      </c>
      <c r="G46" s="159">
        <v>1</v>
      </c>
      <c r="H46" s="157" t="s">
        <v>250</v>
      </c>
      <c r="I46" s="105" t="s">
        <v>88</v>
      </c>
      <c r="J46" s="105">
        <f>+SUMIFS('02'!C:C,'02'!J:J,D46&amp;" - "&amp;C46&amp;" - "&amp;H46,'02'!B:B,'2026-3'!$I46)</f>
        <v>30199</v>
      </c>
      <c r="K46" s="105">
        <f>+SUMIFS('02'!D:D,'02'!J:J,D46&amp;" - "&amp;C46&amp;" - "&amp;H46,'02'!B:B,'2026-3'!$I46)</f>
        <v>30545</v>
      </c>
      <c r="L46" s="105">
        <f>IF(K46-J46&lt;=0,"0",K46-J46)</f>
        <v>346</v>
      </c>
      <c r="M46" s="113">
        <f>SUMIFS(X:X,V:V,H46,W:W,I46)/COUNTIF(H:H,H46)</f>
        <v>188</v>
      </c>
      <c r="N46" s="110">
        <f>IFERROR(+L46-M46,"")</f>
        <v>158</v>
      </c>
      <c r="O46" s="105">
        <f>VALUE(+VLOOKUP(I46,'01'!C:K,9,FALSE))</f>
        <v>1.6799999999999999E-2</v>
      </c>
      <c r="P46" s="110">
        <f>+N46*O46</f>
        <v>2.6543999999999999</v>
      </c>
      <c r="Q46" s="131" cm="1">
        <f t="array" ref="Q46">_xlfn._xlws.FILTER(SAP!$B$2,1)/COUNTA($G$2:$G$85)</f>
        <v>51.681904761904761</v>
      </c>
      <c r="R46" s="133">
        <f>+SUM(P46:P49)</f>
        <v>-13.912800000000001</v>
      </c>
      <c r="S46">
        <v>941231308</v>
      </c>
      <c r="T46" s="140">
        <v>402</v>
      </c>
    </row>
    <row r="47" spans="2:21" x14ac:dyDescent="0.25">
      <c r="B47" s="159"/>
      <c r="C47" s="159"/>
      <c r="D47" s="159"/>
      <c r="E47" s="159"/>
      <c r="F47" s="159"/>
      <c r="G47" s="159"/>
      <c r="H47" s="157"/>
      <c r="I47" s="105" t="s">
        <v>92</v>
      </c>
      <c r="J47" s="105">
        <f>+SUMIFS('02'!C:C,'02'!J:J,D46&amp;" - "&amp;C46&amp;" - "&amp;H46,'02'!B:B,'2026-3'!$I47)</f>
        <v>0</v>
      </c>
      <c r="K47" s="105">
        <f>+SUMIFS('02'!D:D,'02'!J:J,D46&amp;" - "&amp;C46&amp;" - "&amp;H46,'02'!B:B,'2026-3'!$I47)</f>
        <v>0</v>
      </c>
      <c r="L47" s="105" t="str">
        <f t="shared" ref="L47:L49" si="17">IF(K47-J47&lt;=0,"0",K47-J47)</f>
        <v>0</v>
      </c>
      <c r="M47" s="105"/>
      <c r="N47" s="110">
        <f t="shared" si="4"/>
        <v>0</v>
      </c>
      <c r="O47" s="105">
        <f>VALUE(+VLOOKUP(I47,'01'!C:K,9,FALSE))</f>
        <v>3.0099999999999998E-2</v>
      </c>
      <c r="P47" s="110">
        <f t="shared" ref="P47:P49" si="18">+N47*O47</f>
        <v>0</v>
      </c>
      <c r="Q47" s="133"/>
      <c r="R47" s="133"/>
      <c r="S47" s="133"/>
      <c r="T47" s="140"/>
    </row>
    <row r="48" spans="2:21" x14ac:dyDescent="0.25">
      <c r="B48" s="159"/>
      <c r="C48" s="159"/>
      <c r="D48" s="159"/>
      <c r="E48" s="159"/>
      <c r="F48" s="159"/>
      <c r="G48" s="159"/>
      <c r="H48" s="157"/>
      <c r="I48" s="105" t="s">
        <v>95</v>
      </c>
      <c r="J48" s="105">
        <f>+SUMIFS('02'!C:C,'02'!J:J,D46&amp;" - "&amp;C46&amp;" - "&amp;H46,'02'!B:B,'2026-3'!$I48)</f>
        <v>34833</v>
      </c>
      <c r="K48" s="105">
        <f>+SUMIFS('02'!D:D,'02'!J:J,D46&amp;" - "&amp;C46&amp;" - "&amp;H46,'02'!B:B,'2026-3'!$I48)</f>
        <v>35045</v>
      </c>
      <c r="L48" s="105">
        <f t="shared" si="17"/>
        <v>212</v>
      </c>
      <c r="M48" s="113">
        <f>SUMIFS(X:X,V:V,$H46,W:W,I48)/COUNTIF(H:H,$H46)</f>
        <v>563</v>
      </c>
      <c r="N48" s="110">
        <f t="shared" si="4"/>
        <v>-351</v>
      </c>
      <c r="O48" s="105">
        <f>VALUE(+VLOOKUP(I48,'01'!C:K,9,FALSE))</f>
        <v>4.7199999999999999E-2</v>
      </c>
      <c r="P48" s="110">
        <f>+N48*O48</f>
        <v>-16.5672</v>
      </c>
    </row>
    <row r="49" spans="2:20" ht="15.75" thickBot="1" x14ac:dyDescent="0.3">
      <c r="B49" s="160"/>
      <c r="C49" s="160"/>
      <c r="D49" s="160"/>
      <c r="E49" s="160"/>
      <c r="F49" s="160"/>
      <c r="G49" s="160"/>
      <c r="H49" s="158"/>
      <c r="I49" s="106" t="s">
        <v>97</v>
      </c>
      <c r="J49" s="106">
        <f>+SUMIFS('02'!C:C,'02'!J:J,D46&amp;" - "&amp;C46&amp;" - "&amp;H46,'02'!B:B,'2026-3'!$I49)</f>
        <v>0</v>
      </c>
      <c r="K49" s="106">
        <f>+SUMIFS('02'!D:D,'02'!J:J,D46&amp;" - "&amp;C46&amp;" - "&amp;H46,'02'!B:B,'2026-3'!$I49)</f>
        <v>0</v>
      </c>
      <c r="L49" s="106" t="str">
        <f t="shared" si="17"/>
        <v>0</v>
      </c>
      <c r="M49" s="106"/>
      <c r="N49" s="111">
        <f t="shared" si="4"/>
        <v>0</v>
      </c>
      <c r="O49" s="106">
        <f>VALUE(+VLOOKUP(I49,'01'!C:K,9,FALSE))</f>
        <v>9.06E-2</v>
      </c>
      <c r="P49" s="111">
        <f t="shared" si="18"/>
        <v>0</v>
      </c>
      <c r="Q49" s="133"/>
      <c r="R49" s="133"/>
      <c r="S49" s="133"/>
      <c r="T49" s="140"/>
    </row>
    <row r="50" spans="2:20" ht="15.75" thickTop="1" x14ac:dyDescent="0.25">
      <c r="B50" s="159"/>
      <c r="C50" s="159" t="s">
        <v>251</v>
      </c>
      <c r="D50" s="161" t="s">
        <v>201</v>
      </c>
      <c r="E50" s="159" t="s">
        <v>202</v>
      </c>
      <c r="F50" s="159" t="s">
        <v>203</v>
      </c>
      <c r="G50" s="159">
        <v>1</v>
      </c>
      <c r="H50" s="157" t="s">
        <v>250</v>
      </c>
      <c r="I50" s="105" t="s">
        <v>88</v>
      </c>
      <c r="J50" s="105">
        <f>+SUMIFS('02'!C:C,'02'!J:J,D50&amp;" - "&amp;C50&amp;" - "&amp;H50,'02'!B:B,'2026-3'!$I50)</f>
        <v>58830</v>
      </c>
      <c r="K50" s="105">
        <f>+SUMIFS('02'!D:D,'02'!J:J,D50&amp;" - "&amp;C50&amp;" - "&amp;H50,'02'!B:B,'2026-3'!$I50)</f>
        <v>59665</v>
      </c>
      <c r="L50" s="105">
        <f>IF(K50-J50&lt;=0,"0",K50-J50)</f>
        <v>835</v>
      </c>
      <c r="M50" s="113">
        <f>SUMIFS(X:X,V:V,H50,W:W,I50)/COUNTIF(H:H,H50)</f>
        <v>188</v>
      </c>
      <c r="N50" s="110">
        <f>IFERROR(+L50-M50,"")</f>
        <v>647</v>
      </c>
      <c r="O50" s="105">
        <f>VALUE(+VLOOKUP(I50,'01'!C:K,9,FALSE))</f>
        <v>1.6799999999999999E-2</v>
      </c>
      <c r="P50" s="110">
        <f>+N50*O50</f>
        <v>10.8696</v>
      </c>
      <c r="Q50" s="131" cm="1">
        <f t="array" ref="Q50">_xlfn._xlws.FILTER(SAP!$B$2,1)/COUNTA($G$2:$G$85)</f>
        <v>51.681904761904761</v>
      </c>
      <c r="R50" s="133">
        <f>+SUM(P50:P53)</f>
        <v>7.5655999999999999</v>
      </c>
      <c r="S50">
        <v>932341308</v>
      </c>
      <c r="T50" s="140">
        <v>200</v>
      </c>
    </row>
    <row r="51" spans="2:20" x14ac:dyDescent="0.25">
      <c r="B51" s="159"/>
      <c r="C51" s="159"/>
      <c r="D51" s="159"/>
      <c r="E51" s="159"/>
      <c r="F51" s="159"/>
      <c r="G51" s="159"/>
      <c r="H51" s="157"/>
      <c r="I51" s="105" t="s">
        <v>92</v>
      </c>
      <c r="J51" s="105">
        <f>+SUMIFS('02'!C:C,'02'!J:J,D50&amp;" - "&amp;C50&amp;" - "&amp;H50,'02'!B:B,'2026-3'!$I51)</f>
        <v>0</v>
      </c>
      <c r="K51" s="105">
        <f>+SUMIFS('02'!D:D,'02'!J:J,D50&amp;" - "&amp;C50&amp;" - "&amp;H50,'02'!B:B,'2026-3'!$I51)</f>
        <v>0</v>
      </c>
      <c r="L51" s="105" t="str">
        <f t="shared" ref="L51:L53" si="19">IF(K51-J51&lt;=0,"0",K51-J51)</f>
        <v>0</v>
      </c>
      <c r="M51" s="105"/>
      <c r="N51" s="110">
        <f t="shared" si="4"/>
        <v>0</v>
      </c>
      <c r="O51" s="105">
        <f>VALUE(+VLOOKUP(I51,'01'!C:K,9,FALSE))</f>
        <v>3.0099999999999998E-2</v>
      </c>
      <c r="P51" s="110">
        <f t="shared" ref="P51:P53" si="20">+N51*O51</f>
        <v>0</v>
      </c>
    </row>
    <row r="52" spans="2:20" x14ac:dyDescent="0.25">
      <c r="B52" s="159"/>
      <c r="C52" s="159"/>
      <c r="D52" s="159"/>
      <c r="E52" s="159"/>
      <c r="F52" s="159"/>
      <c r="G52" s="159"/>
      <c r="H52" s="157"/>
      <c r="I52" s="105" t="s">
        <v>95</v>
      </c>
      <c r="J52" s="105">
        <f>+SUMIFS('02'!C:C,'02'!J:J,D50&amp;" - "&amp;C50&amp;" - "&amp;H50,'02'!B:B,'2026-3'!$I52)</f>
        <v>35550</v>
      </c>
      <c r="K52" s="105">
        <f>+SUMIFS('02'!D:D,'02'!J:J,D50&amp;" - "&amp;C50&amp;" - "&amp;H50,'02'!B:B,'2026-3'!$I52)</f>
        <v>36043</v>
      </c>
      <c r="L52" s="105">
        <f t="shared" si="19"/>
        <v>493</v>
      </c>
      <c r="M52" s="113">
        <f>SUMIFS(X:X,V:V,$H50,W:W,I52)/COUNTIF(H:H,$H50)</f>
        <v>563</v>
      </c>
      <c r="N52" s="110">
        <f t="shared" si="4"/>
        <v>-70</v>
      </c>
      <c r="O52" s="105">
        <f>VALUE(+VLOOKUP(I52,'01'!C:K,9,FALSE))</f>
        <v>4.7199999999999999E-2</v>
      </c>
      <c r="P52" s="110">
        <f>+N52*O52</f>
        <v>-3.3039999999999998</v>
      </c>
      <c r="Q52" s="133"/>
      <c r="R52" s="133"/>
      <c r="S52" s="133"/>
      <c r="T52" s="140"/>
    </row>
    <row r="53" spans="2:20" ht="15.75" thickBot="1" x14ac:dyDescent="0.3">
      <c r="B53" s="160"/>
      <c r="C53" s="160"/>
      <c r="D53" s="160"/>
      <c r="E53" s="160"/>
      <c r="F53" s="160"/>
      <c r="G53" s="160"/>
      <c r="H53" s="158"/>
      <c r="I53" s="106" t="s">
        <v>97</v>
      </c>
      <c r="J53" s="106">
        <f>+SUMIFS('02'!C:C,'02'!J:J,D50&amp;" - "&amp;C50&amp;" - "&amp;H50,'02'!B:B,'2026-3'!$I53)</f>
        <v>0</v>
      </c>
      <c r="K53" s="106">
        <f>+SUMIFS('02'!D:D,'02'!J:J,D50&amp;" - "&amp;C50&amp;" - "&amp;H50,'02'!B:B,'2026-3'!$I53)</f>
        <v>0</v>
      </c>
      <c r="L53" s="106" t="str">
        <f t="shared" si="19"/>
        <v>0</v>
      </c>
      <c r="M53" s="106"/>
      <c r="N53" s="111">
        <f t="shared" si="4"/>
        <v>0</v>
      </c>
      <c r="O53" s="106">
        <f>VALUE(+VLOOKUP(I53,'01'!C:K,9,FALSE))</f>
        <v>9.06E-2</v>
      </c>
      <c r="P53" s="111">
        <f t="shared" si="20"/>
        <v>0</v>
      </c>
      <c r="Q53" s="133"/>
      <c r="R53" s="133"/>
      <c r="S53" s="133"/>
      <c r="T53" s="140"/>
    </row>
    <row r="54" spans="2:20" ht="15.75" thickTop="1" x14ac:dyDescent="0.25">
      <c r="B54" s="159"/>
      <c r="C54" s="162" t="s">
        <v>253</v>
      </c>
      <c r="D54" s="161" t="s">
        <v>204</v>
      </c>
      <c r="E54" s="159" t="s">
        <v>205</v>
      </c>
      <c r="F54" s="159" t="s">
        <v>206</v>
      </c>
      <c r="G54" s="159">
        <v>1</v>
      </c>
      <c r="H54" s="157" t="s">
        <v>252</v>
      </c>
      <c r="I54" s="105" t="s">
        <v>88</v>
      </c>
      <c r="J54" s="105">
        <f>+SUMIFS('02'!C:C,'02'!J:J,D54&amp;" - "&amp;C54&amp;" - "&amp;H54,'02'!B:B,'2026-3'!$I54)</f>
        <v>6445</v>
      </c>
      <c r="K54" s="105">
        <f>+SUMIFS('02'!D:D,'02'!J:J,D54&amp;" - "&amp;C54&amp;" - "&amp;H54,'02'!B:B,'2026-3'!$I54)</f>
        <v>7222</v>
      </c>
      <c r="L54" s="105">
        <f>IF(K54-J54&lt;=0,"0",K54-J54)</f>
        <v>777</v>
      </c>
      <c r="M54" s="113">
        <f>SUMIFS(X:X,V:V,H54,W:W,I54)/COUNTIF(H:H,H54)</f>
        <v>188</v>
      </c>
      <c r="N54" s="110">
        <f>IFERROR(+L54-M54,"")</f>
        <v>589</v>
      </c>
      <c r="O54" s="105">
        <f>VALUE(+VLOOKUP(I54,'01'!C:K,9,FALSE))</f>
        <v>1.6799999999999999E-2</v>
      </c>
      <c r="P54" s="110">
        <f>+N54*O54</f>
        <v>9.8951999999999991</v>
      </c>
      <c r="Q54" s="131" cm="1">
        <f t="array" ref="Q54">_xlfn._xlws.FILTER(SAP!$B$2,1)/COUNTA($G$2:$G$85)</f>
        <v>51.681904761904761</v>
      </c>
      <c r="R54" s="133">
        <f>+SUM(P54:P57)</f>
        <v>192.65359999999998</v>
      </c>
      <c r="S54">
        <v>931221108</v>
      </c>
      <c r="T54" s="140">
        <v>102</v>
      </c>
    </row>
    <row r="55" spans="2:20" x14ac:dyDescent="0.25">
      <c r="B55" s="159"/>
      <c r="C55" s="159"/>
      <c r="D55" s="159"/>
      <c r="E55" s="159"/>
      <c r="F55" s="159"/>
      <c r="G55" s="159"/>
      <c r="H55" s="157"/>
      <c r="I55" s="105" t="s">
        <v>92</v>
      </c>
      <c r="J55" s="105">
        <f>+SUMIFS('02'!C:C,'02'!J:J,D54&amp;" - "&amp;C54&amp;" - "&amp;H54,'02'!B:B,'2026-3'!$I55)</f>
        <v>0</v>
      </c>
      <c r="K55" s="105">
        <f>+SUMIFS('02'!D:D,'02'!J:J,D54&amp;" - "&amp;C54&amp;" - "&amp;H54,'02'!B:B,'2026-3'!$I55)</f>
        <v>0</v>
      </c>
      <c r="L55" s="105" t="str">
        <f t="shared" ref="L55:L57" si="21">IF(K55-J55&lt;=0,"0",K55-J55)</f>
        <v>0</v>
      </c>
      <c r="M55" s="105"/>
      <c r="N55" s="110">
        <f t="shared" si="4"/>
        <v>0</v>
      </c>
      <c r="O55" s="105">
        <f>VALUE(+VLOOKUP(I55,'01'!C:K,9,FALSE))</f>
        <v>3.0099999999999998E-2</v>
      </c>
      <c r="P55" s="110">
        <f t="shared" ref="P55:P57" si="22">+N55*O55</f>
        <v>0</v>
      </c>
    </row>
    <row r="56" spans="2:20" x14ac:dyDescent="0.25">
      <c r="B56" s="159"/>
      <c r="C56" s="159"/>
      <c r="D56" s="159"/>
      <c r="E56" s="159"/>
      <c r="F56" s="159"/>
      <c r="G56" s="159"/>
      <c r="H56" s="157"/>
      <c r="I56" s="105" t="s">
        <v>95</v>
      </c>
      <c r="J56" s="105">
        <f>+SUMIFS('02'!C:C,'02'!J:J,D54&amp;" - "&amp;C54&amp;" - "&amp;H54,'02'!B:B,'2026-3'!$I56)</f>
        <v>24340</v>
      </c>
      <c r="K56" s="105">
        <f>+SUMIFS('02'!D:D,'02'!J:J,D54&amp;" - "&amp;C54&amp;" - "&amp;H54,'02'!B:B,'2026-3'!$I56)</f>
        <v>28775</v>
      </c>
      <c r="L56" s="105">
        <f t="shared" si="21"/>
        <v>4435</v>
      </c>
      <c r="M56" s="113">
        <f>SUMIFS(X:X,V:V,$H54,W:W,I56)/COUNTIF(H:H,$H54)</f>
        <v>563</v>
      </c>
      <c r="N56" s="110">
        <f t="shared" si="4"/>
        <v>3872</v>
      </c>
      <c r="O56" s="105">
        <f>VALUE(+VLOOKUP(I56,'01'!C:K,9,FALSE))</f>
        <v>4.7199999999999999E-2</v>
      </c>
      <c r="P56" s="110">
        <f>+N56*O56</f>
        <v>182.75839999999999</v>
      </c>
      <c r="Q56" s="133"/>
      <c r="R56" s="133"/>
      <c r="S56" s="133"/>
      <c r="T56" s="140"/>
    </row>
    <row r="57" spans="2:20" ht="15.75" thickBot="1" x14ac:dyDescent="0.3">
      <c r="B57" s="160"/>
      <c r="C57" s="160"/>
      <c r="D57" s="160"/>
      <c r="E57" s="160"/>
      <c r="F57" s="160"/>
      <c r="G57" s="160"/>
      <c r="H57" s="158"/>
      <c r="I57" s="106" t="s">
        <v>97</v>
      </c>
      <c r="J57" s="106">
        <f>+SUMIFS('02'!C:C,'02'!J:J,D54&amp;" - "&amp;C54&amp;" - "&amp;H54,'02'!B:B,'2026-3'!$I57)</f>
        <v>0</v>
      </c>
      <c r="K57" s="106">
        <f>+SUMIFS('02'!D:D,'02'!J:J,D54&amp;" - "&amp;C54&amp;" - "&amp;H54,'02'!B:B,'2026-3'!$I57)</f>
        <v>0</v>
      </c>
      <c r="L57" s="106" t="str">
        <f t="shared" si="21"/>
        <v>0</v>
      </c>
      <c r="M57" s="106"/>
      <c r="N57" s="111">
        <f t="shared" si="4"/>
        <v>0</v>
      </c>
      <c r="O57" s="106">
        <f>VALUE(+VLOOKUP(I57,'01'!C:K,9,FALSE))</f>
        <v>9.06E-2</v>
      </c>
      <c r="P57" s="111">
        <f t="shared" si="22"/>
        <v>0</v>
      </c>
      <c r="Q57" s="133"/>
      <c r="R57" s="133"/>
      <c r="S57" s="133"/>
      <c r="T57" s="140"/>
    </row>
    <row r="58" spans="2:20" ht="15.75" thickTop="1" x14ac:dyDescent="0.25">
      <c r="B58" s="159"/>
      <c r="C58" s="162" t="s">
        <v>253</v>
      </c>
      <c r="D58" s="161" t="s">
        <v>207</v>
      </c>
      <c r="E58" s="159" t="s">
        <v>208</v>
      </c>
      <c r="F58" s="159" t="s">
        <v>209</v>
      </c>
      <c r="G58" s="159">
        <v>1</v>
      </c>
      <c r="H58" s="157" t="s">
        <v>252</v>
      </c>
      <c r="I58" s="105" t="s">
        <v>88</v>
      </c>
      <c r="J58" s="105">
        <f>+SUMIFS('02'!C:C,'02'!J:J,D58&amp;" - "&amp;C58&amp;" - "&amp;H58,'02'!B:B,'2026-3'!$I58)</f>
        <v>28313</v>
      </c>
      <c r="K58" s="105">
        <f>+SUMIFS('02'!D:D,'02'!J:J,D58&amp;" - "&amp;C58&amp;" - "&amp;H58,'02'!B:B,'2026-3'!$I58)</f>
        <v>28834</v>
      </c>
      <c r="L58" s="105">
        <f>IF(K58-J58&lt;=0,"0",K58-J58)</f>
        <v>521</v>
      </c>
      <c r="M58" s="113">
        <f>SUMIFS(X:X,V:V,H58,W:W,I58)/COUNTIF(H:H,H58)</f>
        <v>188</v>
      </c>
      <c r="N58" s="110">
        <f>IFERROR(+L58-M58,"")</f>
        <v>333</v>
      </c>
      <c r="O58" s="105">
        <f>VALUE(+VLOOKUP(I58,'01'!C:K,9,FALSE))</f>
        <v>1.6799999999999999E-2</v>
      </c>
      <c r="P58" s="110">
        <f>+N58*O58</f>
        <v>5.5943999999999994</v>
      </c>
      <c r="Q58" s="131" cm="1">
        <f t="array" ref="Q58">_xlfn._xlws.FILTER(SAP!$B$2,1)/COUNTA($G$2:$G$85)</f>
        <v>51.681904761904761</v>
      </c>
      <c r="R58" s="133">
        <f>+SUM(P58:P61)</f>
        <v>41.796799999999998</v>
      </c>
      <c r="S58">
        <v>941231308</v>
      </c>
      <c r="T58" s="140">
        <v>403</v>
      </c>
    </row>
    <row r="59" spans="2:20" x14ac:dyDescent="0.25">
      <c r="B59" s="159"/>
      <c r="C59" s="159"/>
      <c r="D59" s="159"/>
      <c r="E59" s="159"/>
      <c r="F59" s="159"/>
      <c r="G59" s="159"/>
      <c r="H59" s="157"/>
      <c r="I59" s="105" t="s">
        <v>92</v>
      </c>
      <c r="J59" s="105">
        <f>+SUMIFS('02'!C:C,'02'!J:J,D58&amp;" - "&amp;C58&amp;" - "&amp;H58,'02'!B:B,'2026-3'!$I59)</f>
        <v>0</v>
      </c>
      <c r="K59" s="105">
        <f>+SUMIFS('02'!D:D,'02'!J:J,D58&amp;" - "&amp;C58&amp;" - "&amp;H58,'02'!B:B,'2026-3'!$I59)</f>
        <v>0</v>
      </c>
      <c r="L59" s="105" t="str">
        <f t="shared" ref="L59:L61" si="23">IF(K59-J59&lt;=0,"0",K59-J59)</f>
        <v>0</v>
      </c>
      <c r="M59" s="105"/>
      <c r="N59" s="110">
        <f t="shared" si="4"/>
        <v>0</v>
      </c>
      <c r="O59" s="105">
        <f>VALUE(+VLOOKUP(I59,'01'!C:K,9,FALSE))</f>
        <v>3.0099999999999998E-2</v>
      </c>
      <c r="P59" s="110">
        <f t="shared" ref="P59:P61" si="24">+N59*O59</f>
        <v>0</v>
      </c>
    </row>
    <row r="60" spans="2:20" x14ac:dyDescent="0.25">
      <c r="B60" s="159"/>
      <c r="C60" s="159"/>
      <c r="D60" s="159"/>
      <c r="E60" s="159"/>
      <c r="F60" s="159"/>
      <c r="G60" s="159"/>
      <c r="H60" s="157"/>
      <c r="I60" s="105" t="s">
        <v>95</v>
      </c>
      <c r="J60" s="105">
        <f>+SUMIFS('02'!C:C,'02'!J:J,D58&amp;" - "&amp;C58&amp;" - "&amp;H58,'02'!B:B,'2026-3'!$I60)</f>
        <v>34374</v>
      </c>
      <c r="K60" s="105">
        <f>+SUMIFS('02'!D:D,'02'!J:J,D58&amp;" - "&amp;C58&amp;" - "&amp;H58,'02'!B:B,'2026-3'!$I60)</f>
        <v>35704</v>
      </c>
      <c r="L60" s="105">
        <f t="shared" si="23"/>
        <v>1330</v>
      </c>
      <c r="M60" s="113">
        <f>SUMIFS(X:X,V:V,$H58,W:W,I60)/COUNTIF(H:H,$H58)</f>
        <v>563</v>
      </c>
      <c r="N60" s="110">
        <f t="shared" si="4"/>
        <v>767</v>
      </c>
      <c r="O60" s="105">
        <f>VALUE(+VLOOKUP(I60,'01'!C:K,9,FALSE))</f>
        <v>4.7199999999999999E-2</v>
      </c>
      <c r="P60" s="110">
        <f>+N60*O60</f>
        <v>36.202399999999997</v>
      </c>
      <c r="Q60" s="133"/>
      <c r="R60" s="133"/>
      <c r="S60" s="133"/>
      <c r="T60" s="140"/>
    </row>
    <row r="61" spans="2:20" ht="15.75" thickBot="1" x14ac:dyDescent="0.3">
      <c r="B61" s="160"/>
      <c r="C61" s="160"/>
      <c r="D61" s="160"/>
      <c r="E61" s="160"/>
      <c r="F61" s="160"/>
      <c r="G61" s="160"/>
      <c r="H61" s="158"/>
      <c r="I61" s="106" t="s">
        <v>97</v>
      </c>
      <c r="J61" s="106">
        <f>+SUMIFS('02'!C:C,'02'!J:J,D58&amp;" - "&amp;C58&amp;" - "&amp;H58,'02'!B:B,'2026-3'!$I61)</f>
        <v>0</v>
      </c>
      <c r="K61" s="106">
        <f>+SUMIFS('02'!D:D,'02'!J:J,D58&amp;" - "&amp;C58&amp;" - "&amp;H58,'02'!B:B,'2026-3'!$I61)</f>
        <v>0</v>
      </c>
      <c r="L61" s="106" t="str">
        <f t="shared" si="23"/>
        <v>0</v>
      </c>
      <c r="M61" s="106"/>
      <c r="N61" s="111">
        <f t="shared" si="4"/>
        <v>0</v>
      </c>
      <c r="O61" s="106">
        <f>VALUE(+VLOOKUP(I61,'01'!C:K,9,FALSE))</f>
        <v>9.06E-2</v>
      </c>
      <c r="P61" s="111">
        <f t="shared" si="24"/>
        <v>0</v>
      </c>
      <c r="Q61" s="133"/>
      <c r="R61" s="133"/>
      <c r="S61" s="133"/>
      <c r="T61" s="140"/>
    </row>
    <row r="62" spans="2:20" ht="15.75" thickTop="1" x14ac:dyDescent="0.25">
      <c r="B62" s="159"/>
      <c r="C62" s="162" t="s">
        <v>253</v>
      </c>
      <c r="D62" s="161" t="s">
        <v>210</v>
      </c>
      <c r="E62" s="159" t="s">
        <v>211</v>
      </c>
      <c r="F62" s="159" t="s">
        <v>212</v>
      </c>
      <c r="G62" s="159">
        <v>1</v>
      </c>
      <c r="H62" s="157" t="s">
        <v>252</v>
      </c>
      <c r="I62" s="105" t="s">
        <v>88</v>
      </c>
      <c r="J62" s="105">
        <f>+SUMIFS('02'!C:C,'02'!J:J,D62&amp;" - "&amp;C62&amp;" - "&amp;H62,'02'!B:B,'2026-3'!$I62)</f>
        <v>3603</v>
      </c>
      <c r="K62" s="105">
        <f>+SUMIFS('02'!D:D,'02'!J:J,D62&amp;" - "&amp;C62&amp;" - "&amp;H62,'02'!B:B,'2026-3'!$I62)</f>
        <v>4044</v>
      </c>
      <c r="L62" s="105">
        <f>IF(K62-J62&lt;=0,"0",K62-J62)</f>
        <v>441</v>
      </c>
      <c r="M62" s="113">
        <f>SUMIFS(X:X,V:V,H62,W:W,I62)/COUNTIF(H:H,H62)</f>
        <v>188</v>
      </c>
      <c r="N62" s="110">
        <f>IFERROR(+L62-M62,"")</f>
        <v>253</v>
      </c>
      <c r="O62" s="105">
        <f>VALUE(+VLOOKUP(I62,'01'!C:K,9,FALSE))</f>
        <v>1.6799999999999999E-2</v>
      </c>
      <c r="P62" s="110">
        <f>+N62*O62</f>
        <v>4.2504</v>
      </c>
      <c r="Q62" s="131" cm="1">
        <f t="array" ref="Q62">_xlfn._xlws.FILTER(SAP!$B$2,1)/COUNTA($G$2:$G$85)</f>
        <v>51.681904761904761</v>
      </c>
      <c r="R62" s="133">
        <f>+SUM(P62:P65)</f>
        <v>-1.3191999999999995</v>
      </c>
      <c r="S62">
        <v>931221108</v>
      </c>
      <c r="T62" s="140">
        <v>103</v>
      </c>
    </row>
    <row r="63" spans="2:20" x14ac:dyDescent="0.25">
      <c r="B63" s="159"/>
      <c r="C63" s="159"/>
      <c r="D63" s="159"/>
      <c r="E63" s="159"/>
      <c r="F63" s="159"/>
      <c r="G63" s="159"/>
      <c r="H63" s="157"/>
      <c r="I63" s="105" t="s">
        <v>92</v>
      </c>
      <c r="J63" s="105">
        <f>+SUMIFS('02'!C:C,'02'!J:J,D62&amp;" - "&amp;C62&amp;" - "&amp;H62,'02'!B:B,'2026-3'!$I63)</f>
        <v>0</v>
      </c>
      <c r="K63" s="105">
        <f>+SUMIFS('02'!D:D,'02'!J:J,D62&amp;" - "&amp;C62&amp;" - "&amp;H62,'02'!B:B,'2026-3'!$I63)</f>
        <v>0</v>
      </c>
      <c r="L63" s="105" t="str">
        <f t="shared" ref="L63:L65" si="25">IF(K63-J63&lt;=0,"0",K63-J63)</f>
        <v>0</v>
      </c>
      <c r="M63" s="105"/>
      <c r="N63" s="110">
        <f t="shared" si="4"/>
        <v>0</v>
      </c>
      <c r="O63" s="105">
        <f>VALUE(+VLOOKUP(I63,'01'!C:K,9,FALSE))</f>
        <v>3.0099999999999998E-2</v>
      </c>
      <c r="P63" s="110">
        <f t="shared" ref="P63:P65" si="26">+N63*O63</f>
        <v>0</v>
      </c>
    </row>
    <row r="64" spans="2:20" x14ac:dyDescent="0.25">
      <c r="B64" s="159"/>
      <c r="C64" s="159"/>
      <c r="D64" s="159"/>
      <c r="E64" s="159"/>
      <c r="F64" s="159"/>
      <c r="G64" s="159"/>
      <c r="H64" s="157"/>
      <c r="I64" s="105" t="s">
        <v>95</v>
      </c>
      <c r="J64" s="105">
        <f>+SUMIFS('02'!C:C,'02'!J:J,D62&amp;" - "&amp;C62&amp;" - "&amp;H62,'02'!B:B,'2026-3'!$I64)</f>
        <v>3848</v>
      </c>
      <c r="K64" s="105">
        <f>+SUMIFS('02'!D:D,'02'!J:J,D62&amp;" - "&amp;C62&amp;" - "&amp;H62,'02'!B:B,'2026-3'!$I64)</f>
        <v>4293</v>
      </c>
      <c r="L64" s="105">
        <f t="shared" si="25"/>
        <v>445</v>
      </c>
      <c r="M64" s="113">
        <f>SUMIFS(X:X,V:V,$H62,W:W,I64)/COUNTIF(H:H,$H62)</f>
        <v>563</v>
      </c>
      <c r="N64" s="110">
        <f t="shared" si="4"/>
        <v>-118</v>
      </c>
      <c r="O64" s="105">
        <f>VALUE(+VLOOKUP(I64,'01'!C:K,9,FALSE))</f>
        <v>4.7199999999999999E-2</v>
      </c>
      <c r="P64" s="110">
        <f>+N64*O64</f>
        <v>-5.5695999999999994</v>
      </c>
      <c r="Q64" s="133"/>
      <c r="R64" s="133"/>
      <c r="S64" s="133"/>
      <c r="T64" s="140"/>
    </row>
    <row r="65" spans="2:21" ht="15.75" thickBot="1" x14ac:dyDescent="0.3">
      <c r="B65" s="160"/>
      <c r="C65" s="160"/>
      <c r="D65" s="160"/>
      <c r="E65" s="160"/>
      <c r="F65" s="160"/>
      <c r="G65" s="160"/>
      <c r="H65" s="158"/>
      <c r="I65" s="106" t="s">
        <v>97</v>
      </c>
      <c r="J65" s="106">
        <f>+SUMIFS('02'!C:C,'02'!J:J,D62&amp;" - "&amp;C62&amp;" - "&amp;H62,'02'!B:B,'2026-3'!$I65)</f>
        <v>0</v>
      </c>
      <c r="K65" s="106">
        <f>+SUMIFS('02'!D:D,'02'!J:J,D62&amp;" - "&amp;C62&amp;" - "&amp;H62,'02'!B:B,'2026-3'!$I65)</f>
        <v>0</v>
      </c>
      <c r="L65" s="106" t="str">
        <f t="shared" si="25"/>
        <v>0</v>
      </c>
      <c r="M65" s="106"/>
      <c r="N65" s="111">
        <f t="shared" si="4"/>
        <v>0</v>
      </c>
      <c r="O65" s="106">
        <f>VALUE(+VLOOKUP(I65,'01'!C:K,9,FALSE))</f>
        <v>9.06E-2</v>
      </c>
      <c r="P65" s="111">
        <f t="shared" si="26"/>
        <v>0</v>
      </c>
      <c r="Q65" s="133"/>
      <c r="R65" s="133"/>
      <c r="S65" s="133"/>
      <c r="T65" s="140"/>
    </row>
    <row r="66" spans="2:21" ht="15.75" thickTop="1" x14ac:dyDescent="0.25">
      <c r="B66" s="159"/>
      <c r="C66" s="162" t="s">
        <v>253</v>
      </c>
      <c r="D66" s="161" t="s">
        <v>213</v>
      </c>
      <c r="E66" s="159" t="s">
        <v>214</v>
      </c>
      <c r="F66" s="159" t="s">
        <v>215</v>
      </c>
      <c r="G66" s="159">
        <v>1</v>
      </c>
      <c r="H66" s="157" t="s">
        <v>252</v>
      </c>
      <c r="I66" s="105" t="s">
        <v>88</v>
      </c>
      <c r="J66" s="105">
        <f>+SUMIFS('01'!$D:$D,'01'!$M:$M,$D$66&amp;" - "&amp;$C$66&amp;" - "&amp;$H$66,'01'!$C:$C,'2026-3'!$I66)</f>
        <v>4141</v>
      </c>
      <c r="K66" s="105">
        <f>+SUMIFS('01'!$E:$E,'01'!$M:$M,$D$66&amp;" - "&amp;$C$66&amp;" - "&amp;$H$66,'01'!$C:$C,'2026-3'!$I66)</f>
        <v>4785</v>
      </c>
      <c r="L66" s="105">
        <f>IF(K66-J66&lt;=0,"0",K66-J66)</f>
        <v>644</v>
      </c>
      <c r="M66" s="113">
        <f>SUMIFS(X:X,V:V,H66,W:W,I66)/COUNTIF(H:H,H66)</f>
        <v>188</v>
      </c>
      <c r="N66" s="110">
        <f>IFERROR(+L66-M66,"")</f>
        <v>456</v>
      </c>
      <c r="O66" s="105">
        <f>VALUE(+VLOOKUP(I66,'01'!C:K,9,FALSE))</f>
        <v>1.6799999999999999E-2</v>
      </c>
      <c r="P66" s="110">
        <f>+N66*O66</f>
        <v>7.6607999999999992</v>
      </c>
      <c r="Q66" s="131" cm="1">
        <f t="array" ref="Q66">_xlfn._xlws.FILTER(SAP!$B$2,1)/COUNTA($G$2:$G$85)</f>
        <v>51.681904761904761</v>
      </c>
      <c r="R66" s="133">
        <f>+SUM(P66:P69)</f>
        <v>167.14959999999999</v>
      </c>
      <c r="S66">
        <v>932341308</v>
      </c>
      <c r="T66" s="140">
        <v>200</v>
      </c>
      <c r="U66" s="163">
        <v>1</v>
      </c>
    </row>
    <row r="67" spans="2:21" x14ac:dyDescent="0.25">
      <c r="B67" s="159"/>
      <c r="C67" s="159"/>
      <c r="D67" s="159"/>
      <c r="E67" s="159"/>
      <c r="F67" s="159"/>
      <c r="G67" s="159"/>
      <c r="H67" s="157"/>
      <c r="I67" s="105" t="s">
        <v>92</v>
      </c>
      <c r="J67" s="105">
        <f>+SUMIFS('01'!$D:$D,'01'!$M:$M,$D$66&amp;" - "&amp;$C$66&amp;" - "&amp;$H$66,'01'!$C:$C,'2026-3'!$I67)</f>
        <v>0</v>
      </c>
      <c r="K67" s="105">
        <f>+SUMIFS('01'!$E:$E,'01'!$M:$M,$D$66&amp;" - "&amp;$C$66&amp;" - "&amp;$H$66,'01'!$C:$C,'2026-3'!$I67)</f>
        <v>0</v>
      </c>
      <c r="L67" s="105" t="str">
        <f t="shared" ref="L67:L73" si="27">IF(K67-J67&lt;=0,"0",K67-J67)</f>
        <v>0</v>
      </c>
      <c r="M67" s="105"/>
      <c r="N67" s="110">
        <f t="shared" si="4"/>
        <v>0</v>
      </c>
      <c r="O67" s="105">
        <f>VALUE(+VLOOKUP(I67,'01'!C:K,9,FALSE))</f>
        <v>3.0099999999999998E-2</v>
      </c>
      <c r="P67" s="110">
        <f t="shared" ref="P67:P69" si="28">+N67*O67</f>
        <v>0</v>
      </c>
      <c r="U67" s="163"/>
    </row>
    <row r="68" spans="2:21" x14ac:dyDescent="0.25">
      <c r="B68" s="159"/>
      <c r="C68" s="159"/>
      <c r="D68" s="159"/>
      <c r="E68" s="159"/>
      <c r="F68" s="159"/>
      <c r="G68" s="159"/>
      <c r="H68" s="157"/>
      <c r="I68" s="105" t="s">
        <v>95</v>
      </c>
      <c r="J68" s="105">
        <f>+SUMIFS('01'!$D:$D,'01'!$M:$M,$D$66&amp;" - "&amp;$C$66&amp;" - "&amp;$H$66,'01'!$C:$C,'2026-3'!$I68)</f>
        <v>23586</v>
      </c>
      <c r="K68" s="105">
        <f>+SUMIFS('01'!$E:$E,'01'!$M:$M,$D$66&amp;" - "&amp;$C$66&amp;" - "&amp;$H$66,'01'!$C:$C,'2026-3'!$I68)</f>
        <v>27528</v>
      </c>
      <c r="L68" s="105">
        <f t="shared" si="27"/>
        <v>3942</v>
      </c>
      <c r="M68" s="113">
        <f>SUMIFS(X:X,V:V,$H66,W:W,I68)/COUNTIF(H:H,$H66)</f>
        <v>563</v>
      </c>
      <c r="N68" s="110">
        <f t="shared" si="4"/>
        <v>3379</v>
      </c>
      <c r="O68" s="105">
        <f>VALUE(+VLOOKUP(I68,'01'!C:K,9,FALSE))</f>
        <v>4.7199999999999999E-2</v>
      </c>
      <c r="P68" s="110">
        <f>+N68*O68</f>
        <v>159.4888</v>
      </c>
      <c r="Q68" s="133"/>
      <c r="R68" s="133"/>
      <c r="S68" s="133"/>
      <c r="T68" s="140"/>
      <c r="U68" s="163"/>
    </row>
    <row r="69" spans="2:21" ht="15.75" thickBot="1" x14ac:dyDescent="0.3">
      <c r="B69" s="160"/>
      <c r="C69" s="160"/>
      <c r="D69" s="160"/>
      <c r="E69" s="160"/>
      <c r="F69" s="160"/>
      <c r="G69" s="160"/>
      <c r="H69" s="158"/>
      <c r="I69" s="106" t="s">
        <v>97</v>
      </c>
      <c r="J69" s="106">
        <f>+SUMIFS('01'!$D:$D,'01'!$M:$M,$D$66&amp;" - "&amp;$C$66&amp;" - "&amp;$H$66,'01'!$C:$C,'2026-3'!$I69)</f>
        <v>0</v>
      </c>
      <c r="K69" s="106">
        <f>+SUMIFS('01'!$E:$E,'01'!$M:$M,$D$66&amp;" - "&amp;$C$66&amp;" - "&amp;$H$66,'01'!$C:$C,'2026-3'!$I69)</f>
        <v>0</v>
      </c>
      <c r="L69" s="106" t="str">
        <f t="shared" si="27"/>
        <v>0</v>
      </c>
      <c r="M69" s="106"/>
      <c r="N69" s="111">
        <f t="shared" si="4"/>
        <v>0</v>
      </c>
      <c r="O69" s="106">
        <f>VALUE(+VLOOKUP(I69,'01'!C:K,9,FALSE))</f>
        <v>9.06E-2</v>
      </c>
      <c r="P69" s="111">
        <f t="shared" si="28"/>
        <v>0</v>
      </c>
      <c r="Q69" s="131"/>
      <c r="R69" s="133"/>
      <c r="S69"/>
      <c r="T69" s="140"/>
      <c r="U69" s="163"/>
    </row>
    <row r="70" spans="2:21" ht="15.75" thickTop="1" x14ac:dyDescent="0.25">
      <c r="B70" s="159"/>
      <c r="C70" s="162" t="s">
        <v>253</v>
      </c>
      <c r="D70" s="161" t="s">
        <v>216</v>
      </c>
      <c r="E70" s="159" t="s">
        <v>217</v>
      </c>
      <c r="F70" s="159" t="s">
        <v>218</v>
      </c>
      <c r="G70" s="159">
        <v>1</v>
      </c>
      <c r="H70" s="157" t="s">
        <v>252</v>
      </c>
      <c r="I70" s="105" t="s">
        <v>88</v>
      </c>
      <c r="J70" s="105">
        <f>+SUMIFS('02'!C:C,'02'!J:J,D70&amp;" - "&amp;C70&amp;" - "&amp;H70,'02'!B:B,'2026-3'!$I70)</f>
        <v>1638</v>
      </c>
      <c r="K70" s="105">
        <f>+SUMIFS('02'!D:D,'02'!J:J,D70&amp;" - "&amp;C70&amp;" - "&amp;H70,'02'!B:B,'2026-3'!$I70)</f>
        <v>2080</v>
      </c>
      <c r="L70" s="105">
        <f>IF(K70-J70&lt;=0,"0",K70-J70)</f>
        <v>442</v>
      </c>
      <c r="M70" s="113">
        <f>SUMIFS(X:X,V:V,H70,W:W,I70)/COUNTIF(H:H,H70)</f>
        <v>188</v>
      </c>
      <c r="N70" s="110">
        <f>IFERROR(+L70-M70,"")</f>
        <v>254</v>
      </c>
      <c r="O70" s="105">
        <f>VALUE(+VLOOKUP(I70,'01'!C:K,9,FALSE))</f>
        <v>1.6799999999999999E-2</v>
      </c>
      <c r="P70" s="110">
        <f>+N70*O70</f>
        <v>4.2671999999999999</v>
      </c>
      <c r="Q70" s="131" cm="1">
        <f t="array" ref="Q70">_xlfn._xlws.FILTER(SAP!$B$2,1)/COUNTA($G$2:$G$85)</f>
        <v>51.681904761904761</v>
      </c>
      <c r="R70" s="133">
        <f>+SUM(P70:P73)</f>
        <v>8.845600000000001</v>
      </c>
      <c r="S70">
        <v>941231308</v>
      </c>
      <c r="T70" s="140">
        <v>401</v>
      </c>
    </row>
    <row r="71" spans="2:21" x14ac:dyDescent="0.25">
      <c r="B71" s="159"/>
      <c r="C71" s="159"/>
      <c r="D71" s="159"/>
      <c r="E71" s="159"/>
      <c r="F71" s="159"/>
      <c r="G71" s="159"/>
      <c r="H71" s="157"/>
      <c r="I71" s="105" t="s">
        <v>92</v>
      </c>
      <c r="J71" s="105">
        <f>+SUMIFS('02'!C:C,'02'!J:J,D70&amp;" - "&amp;C70&amp;" - "&amp;H70,'02'!B:B,'2026-3'!$I71)</f>
        <v>0</v>
      </c>
      <c r="K71" s="105">
        <f>+SUMIFS('02'!D:D,'02'!J:J,D70&amp;" - "&amp;C70&amp;" - "&amp;H70,'02'!B:B,'2026-3'!$I71)</f>
        <v>0</v>
      </c>
      <c r="L71" s="105" t="str">
        <f t="shared" si="27"/>
        <v>0</v>
      </c>
      <c r="M71" s="105"/>
      <c r="N71" s="110">
        <f t="shared" si="4"/>
        <v>0</v>
      </c>
      <c r="O71" s="105">
        <f>VALUE(+VLOOKUP(I71,'01'!C:K,9,FALSE))</f>
        <v>3.0099999999999998E-2</v>
      </c>
      <c r="P71" s="110">
        <f t="shared" ref="P71:P73" si="29">+N71*O71</f>
        <v>0</v>
      </c>
    </row>
    <row r="72" spans="2:21" x14ac:dyDescent="0.25">
      <c r="B72" s="159"/>
      <c r="C72" s="159"/>
      <c r="D72" s="159"/>
      <c r="E72" s="159"/>
      <c r="F72" s="159"/>
      <c r="G72" s="159"/>
      <c r="H72" s="157"/>
      <c r="I72" s="105" t="s">
        <v>95</v>
      </c>
      <c r="J72" s="105">
        <f>+SUMIFS('02'!C:C,'02'!J:J,D70&amp;" - "&amp;C70&amp;" - "&amp;H70,'02'!B:B,'2026-3'!$I72)</f>
        <v>1473</v>
      </c>
      <c r="K72" s="105">
        <f>+SUMIFS('02'!D:D,'02'!J:J,D70&amp;" - "&amp;C70&amp;" - "&amp;H70,'02'!B:B,'2026-3'!$I72)</f>
        <v>2133</v>
      </c>
      <c r="L72" s="105">
        <f t="shared" si="27"/>
        <v>660</v>
      </c>
      <c r="M72" s="113">
        <f>SUMIFS(X:X,V:V,$H70,W:W,I72)/COUNTIF(H:H,$H70)</f>
        <v>563</v>
      </c>
      <c r="N72" s="110">
        <f t="shared" ref="N72:N73" si="30">IFERROR(+L72-M72,"")</f>
        <v>97</v>
      </c>
      <c r="O72" s="105">
        <f>VALUE(+VLOOKUP(I72,'01'!C:K,9,FALSE))</f>
        <v>4.7199999999999999E-2</v>
      </c>
      <c r="P72" s="110">
        <f>+N72*O72</f>
        <v>4.5784000000000002</v>
      </c>
      <c r="Q72" s="133"/>
      <c r="R72" s="133"/>
      <c r="S72" s="133"/>
      <c r="T72" s="140"/>
    </row>
    <row r="73" spans="2:21" ht="15.75" thickBot="1" x14ac:dyDescent="0.3">
      <c r="B73" s="160"/>
      <c r="C73" s="160"/>
      <c r="D73" s="160"/>
      <c r="E73" s="160"/>
      <c r="F73" s="160"/>
      <c r="G73" s="160"/>
      <c r="H73" s="158"/>
      <c r="I73" s="106" t="s">
        <v>97</v>
      </c>
      <c r="J73" s="106">
        <f>+SUMIFS('02'!C:C,'02'!J:J,D70&amp;" - "&amp;C70&amp;" - "&amp;H70,'02'!B:B,'2026-3'!$I73)</f>
        <v>0</v>
      </c>
      <c r="K73" s="106">
        <f>+SUMIFS('02'!D:D,'02'!J:J,D70&amp;" - "&amp;C70&amp;" - "&amp;H70,'02'!B:B,'2026-3'!$I73)</f>
        <v>0</v>
      </c>
      <c r="L73" s="106" t="str">
        <f t="shared" si="27"/>
        <v>0</v>
      </c>
      <c r="M73" s="106"/>
      <c r="N73" s="111">
        <f t="shared" si="30"/>
        <v>0</v>
      </c>
      <c r="O73" s="106">
        <f>VALUE(+VLOOKUP(I73,'01'!C:K,9,FALSE))</f>
        <v>9.06E-2</v>
      </c>
      <c r="P73" s="111">
        <f t="shared" si="29"/>
        <v>0</v>
      </c>
      <c r="Q73" s="133"/>
      <c r="R73" s="133"/>
      <c r="S73" s="133"/>
      <c r="T73" s="140"/>
    </row>
    <row r="74" spans="2:21" ht="15.75" thickTop="1" x14ac:dyDescent="0.25">
      <c r="B74" s="159"/>
      <c r="C74" s="162" t="s">
        <v>253</v>
      </c>
      <c r="D74" s="161" t="s">
        <v>219</v>
      </c>
      <c r="E74" s="159" t="s">
        <v>220</v>
      </c>
      <c r="F74" s="159" t="s">
        <v>221</v>
      </c>
      <c r="G74" s="159">
        <v>1</v>
      </c>
      <c r="H74" s="157" t="s">
        <v>252</v>
      </c>
      <c r="I74" s="105" t="s">
        <v>88</v>
      </c>
      <c r="J74" s="105">
        <f>+SUMIFS('01'!$D:$D,'01'!$M:$M,$D$74&amp;" - "&amp;$C$74&amp;" - "&amp;$H$74,'01'!$C:$C,'2026-3'!$I74)</f>
        <v>3883</v>
      </c>
      <c r="K74" s="105">
        <f>+SUMIFS('01'!$E:$E,'01'!$M:$M,$D$74&amp;" - "&amp;$C$74&amp;" - "&amp;$H$74,'01'!$C:$C,'2026-3'!$I74)</f>
        <v>5188</v>
      </c>
      <c r="L74" s="105">
        <f>IF(K74-J74&lt;=0,"0",K74-J74)</f>
        <v>1305</v>
      </c>
      <c r="M74" s="113">
        <f>SUMIFS(X:X,V:V,H74,W:W,I74)/COUNTIF(H:H,H74)</f>
        <v>188</v>
      </c>
      <c r="N74" s="110">
        <f>IFERROR(+L74-M74,"")</f>
        <v>1117</v>
      </c>
      <c r="O74" s="105">
        <f>VALUE(+VLOOKUP(I74,'01'!C:K,9,FALSE))</f>
        <v>1.6799999999999999E-2</v>
      </c>
      <c r="P74" s="110">
        <f>+N74*O74</f>
        <v>18.765599999999999</v>
      </c>
      <c r="Q74" s="131" cm="1">
        <f t="array" ref="Q74">_xlfn._xlws.FILTER(SAP!$B$2,1)/COUNTA($G$2:$G$85)</f>
        <v>51.681904761904761</v>
      </c>
      <c r="R74" s="133">
        <f>+SUM(P74:P77)</f>
        <v>180.14240000000001</v>
      </c>
      <c r="S74">
        <v>943331308</v>
      </c>
      <c r="T74" s="140">
        <v>406</v>
      </c>
    </row>
    <row r="75" spans="2:21" x14ac:dyDescent="0.25">
      <c r="B75" s="159"/>
      <c r="C75" s="159"/>
      <c r="D75" s="159"/>
      <c r="E75" s="159"/>
      <c r="F75" s="159"/>
      <c r="G75" s="159"/>
      <c r="H75" s="157"/>
      <c r="I75" s="105" t="s">
        <v>92</v>
      </c>
      <c r="J75" s="105">
        <f>+SUMIFS('01'!$D:$D,'01'!$M:$M,$D$74&amp;" - "&amp;$C$74&amp;" - "&amp;$H$74,'01'!$C:$C,'2026-3'!$I75)</f>
        <v>0</v>
      </c>
      <c r="K75" s="105">
        <f>+SUMIFS('01'!$E:$E,'01'!$M:$M,$D$74&amp;" - "&amp;$C$74&amp;" - "&amp;$H$74,'01'!$C:$C,'2026-3'!$I75)</f>
        <v>0</v>
      </c>
      <c r="L75" s="105" t="str">
        <f t="shared" ref="L75:L77" si="31">IF(K75-J75&lt;=0,"0",K75-J75)</f>
        <v>0</v>
      </c>
      <c r="M75" s="105"/>
      <c r="N75" s="110">
        <f t="shared" ref="N75:N77" si="32">IFERROR(+L75-M75,"")</f>
        <v>0</v>
      </c>
      <c r="O75" s="105">
        <f>VALUE(+VLOOKUP(I75,'01'!C:K,9,FALSE))</f>
        <v>3.0099999999999998E-2</v>
      </c>
      <c r="P75" s="110">
        <f t="shared" ref="P75:P77" si="33">+N75*O75</f>
        <v>0</v>
      </c>
    </row>
    <row r="76" spans="2:21" x14ac:dyDescent="0.25">
      <c r="B76" s="159"/>
      <c r="C76" s="159"/>
      <c r="D76" s="159"/>
      <c r="E76" s="159"/>
      <c r="F76" s="159"/>
      <c r="G76" s="159"/>
      <c r="H76" s="157"/>
      <c r="I76" s="105" t="s">
        <v>95</v>
      </c>
      <c r="J76" s="105">
        <f>+SUMIFS('01'!$D:$D,'01'!$M:$M,$D$74&amp;" - "&amp;$C$74&amp;" - "&amp;$H$74,'01'!$C:$C,'2026-3'!$I76)</f>
        <v>11370</v>
      </c>
      <c r="K76" s="105">
        <f>+SUMIFS('01'!$E:$E,'01'!$M:$M,$D$74&amp;" - "&amp;$C$74&amp;" - "&amp;$H$74,'01'!$C:$C,'2026-3'!$I76)</f>
        <v>15352</v>
      </c>
      <c r="L76" s="105">
        <f t="shared" si="31"/>
        <v>3982</v>
      </c>
      <c r="M76" s="113">
        <f>SUMIFS(X:X,V:V,$H74,W:W,I76)/COUNTIF(H:H,$H74)</f>
        <v>563</v>
      </c>
      <c r="N76" s="110">
        <f t="shared" si="32"/>
        <v>3419</v>
      </c>
      <c r="O76" s="105">
        <f>VALUE(+VLOOKUP(I76,'01'!C:K,9,FALSE))</f>
        <v>4.7199999999999999E-2</v>
      </c>
      <c r="P76" s="110">
        <f>+N76*O76</f>
        <v>161.3768</v>
      </c>
      <c r="Q76" s="133"/>
      <c r="R76" s="133"/>
      <c r="S76" s="133"/>
      <c r="T76" s="140"/>
    </row>
    <row r="77" spans="2:21" ht="15.75" thickBot="1" x14ac:dyDescent="0.3">
      <c r="B77" s="160"/>
      <c r="C77" s="160"/>
      <c r="D77" s="160"/>
      <c r="E77" s="160"/>
      <c r="F77" s="160"/>
      <c r="G77" s="160"/>
      <c r="H77" s="158"/>
      <c r="I77" s="106" t="s">
        <v>97</v>
      </c>
      <c r="J77" s="106">
        <f>+SUMIFS('01'!$D:$D,'01'!$M:$M,$D$74&amp;" - "&amp;$C$74&amp;" - "&amp;$H$74,'01'!$C:$C,'2026-3'!$I77)</f>
        <v>0</v>
      </c>
      <c r="K77" s="106">
        <f>+SUMIFS('01'!$E:$E,'01'!$M:$M,$D$74&amp;" - "&amp;$C$74&amp;" - "&amp;$H$74,'01'!$C:$C,'2026-3'!$I77)</f>
        <v>0</v>
      </c>
      <c r="L77" s="106" t="str">
        <f t="shared" si="31"/>
        <v>0</v>
      </c>
      <c r="M77" s="106"/>
      <c r="N77" s="111">
        <f t="shared" si="32"/>
        <v>0</v>
      </c>
      <c r="O77" s="106">
        <f>VALUE(+VLOOKUP(I77,'01'!C:K,9,FALSE))</f>
        <v>9.06E-2</v>
      </c>
      <c r="P77" s="111">
        <f t="shared" si="33"/>
        <v>0</v>
      </c>
      <c r="Q77" s="133"/>
      <c r="R77" s="133"/>
      <c r="S77" s="133"/>
      <c r="T77" s="140"/>
    </row>
    <row r="78" spans="2:21" ht="15.75" thickTop="1" x14ac:dyDescent="0.25">
      <c r="B78" s="159" t="s">
        <v>222</v>
      </c>
      <c r="C78" s="159" t="s">
        <v>254</v>
      </c>
      <c r="D78" s="159">
        <v>35009304</v>
      </c>
      <c r="E78" s="159" t="s">
        <v>223</v>
      </c>
      <c r="F78" s="159" t="s">
        <v>224</v>
      </c>
      <c r="G78" s="159">
        <v>1</v>
      </c>
      <c r="H78" s="157" t="s">
        <v>255</v>
      </c>
      <c r="I78" s="105" t="s">
        <v>88</v>
      </c>
      <c r="J78" s="105">
        <f>+SUMIFS('01'!$D:$D,'01'!$M:$M,$D$78&amp;" - "&amp;$C$78&amp;" - "&amp;$H$78,'01'!$C:$C,'2026-3'!$I78)</f>
        <v>5</v>
      </c>
      <c r="K78" s="105">
        <f>+SUMIFS('01'!$E:$E,'01'!$M:$M,$D$78&amp;" - "&amp;$C$78&amp;" - "&amp;$H$78,'01'!$C:$C,'2026-3'!$I78)</f>
        <v>3848</v>
      </c>
      <c r="L78" s="105">
        <f>IF(K78-J78&lt;=0,"0",K78-J78)</f>
        <v>3843</v>
      </c>
      <c r="M78" s="113">
        <f>SUMIFS(X:X,V:V,H78,W:W,I78)/COUNTIF(H:H,H78)</f>
        <v>188</v>
      </c>
      <c r="N78" s="110">
        <f>IFERROR(+L78-M78,"")</f>
        <v>3655</v>
      </c>
      <c r="O78" s="105">
        <f>VALUE(+VLOOKUP(I78,'01'!C:K,9,FALSE))</f>
        <v>1.6799999999999999E-2</v>
      </c>
      <c r="P78" s="110">
        <f>+N78*O78</f>
        <v>61.403999999999996</v>
      </c>
      <c r="Q78" s="131" cm="1">
        <f t="array" ref="Q78">_xlfn._xlws.FILTER(SAP!$B$2,1)/COUNTA($G$2:$G$85)</f>
        <v>51.681904761904761</v>
      </c>
      <c r="R78" s="133">
        <f>+SUM(P78:P81)</f>
        <v>61.403999999999996</v>
      </c>
      <c r="S78">
        <v>942331307</v>
      </c>
      <c r="T78" s="140">
        <v>404</v>
      </c>
    </row>
    <row r="79" spans="2:21" x14ac:dyDescent="0.25">
      <c r="B79" s="159"/>
      <c r="C79" s="159"/>
      <c r="D79" s="159"/>
      <c r="E79" s="159"/>
      <c r="F79" s="159"/>
      <c r="G79" s="159"/>
      <c r="H79" s="157"/>
      <c r="I79" s="105" t="s">
        <v>92</v>
      </c>
      <c r="J79" s="105">
        <f>+SUMIFS('01'!$D:$D,'01'!$M:$M,$D$78&amp;" - "&amp;$C$78&amp;" - "&amp;$H$78,'01'!$C:$C,'2026-3'!$I79)</f>
        <v>0</v>
      </c>
      <c r="K79" s="105">
        <f>+SUMIFS('01'!$E:$E,'01'!$M:$M,$D$78&amp;" - "&amp;$C$78&amp;" - "&amp;$H$78,'01'!$C:$C,'2026-3'!$I79)</f>
        <v>0</v>
      </c>
      <c r="L79" s="105" t="str">
        <f t="shared" ref="L79:L81" si="34">IF(K79-J79&lt;=0,"0",K79-J79)</f>
        <v>0</v>
      </c>
      <c r="M79" s="105"/>
      <c r="N79" s="110">
        <f t="shared" ref="N79" si="35">IFERROR(+L79-M79,"")</f>
        <v>0</v>
      </c>
      <c r="O79" s="105">
        <f>VALUE(+VLOOKUP(I79,'01'!C:K,9,FALSE))</f>
        <v>3.0099999999999998E-2</v>
      </c>
      <c r="P79" s="110">
        <f t="shared" ref="P79:P81" si="36">+N79*O79</f>
        <v>0</v>
      </c>
    </row>
    <row r="80" spans="2:21" x14ac:dyDescent="0.25">
      <c r="B80" s="159"/>
      <c r="C80" s="159"/>
      <c r="D80" s="159"/>
      <c r="E80" s="159"/>
      <c r="F80" s="159"/>
      <c r="G80" s="159"/>
      <c r="H80" s="157"/>
      <c r="I80" s="105" t="s">
        <v>95</v>
      </c>
      <c r="J80" s="105">
        <f>+SUMIFS('01'!$D:$D,'01'!$M:$M,$D$78&amp;" - "&amp;$C$78&amp;" - "&amp;$H$78,'01'!$C:$C,'2026-3'!$I80)</f>
        <v>31</v>
      </c>
      <c r="K80" s="105">
        <f>+SUMIFS('01'!$E:$E,'01'!$M:$M,$D$78&amp;" - "&amp;$C$78&amp;" - "&amp;$H$78,'01'!$C:$C,'2026-3'!$I80)</f>
        <v>340</v>
      </c>
      <c r="L80" s="105">
        <f t="shared" si="34"/>
        <v>309</v>
      </c>
      <c r="M80" s="113">
        <f>SUMIFS(X:X,V:V,$H78,W:W,I80)/COUNTIF(H:H,$H78)</f>
        <v>563</v>
      </c>
      <c r="N80" s="110">
        <f>IFERROR(IF(L80-M80&lt;0,0,L80-M80),"")</f>
        <v>0</v>
      </c>
      <c r="O80" s="105">
        <f>VALUE(+VLOOKUP(I80,'01'!C:K,9,FALSE))</f>
        <v>4.7199999999999999E-2</v>
      </c>
      <c r="P80" s="110">
        <f>+N80*O80</f>
        <v>0</v>
      </c>
      <c r="Q80" s="133"/>
      <c r="R80" s="133"/>
      <c r="S80" s="133"/>
      <c r="T80" s="140"/>
    </row>
    <row r="81" spans="2:26" ht="15.75" thickBot="1" x14ac:dyDescent="0.3">
      <c r="B81" s="160"/>
      <c r="C81" s="160"/>
      <c r="D81" s="160"/>
      <c r="E81" s="160"/>
      <c r="F81" s="160"/>
      <c r="G81" s="160"/>
      <c r="H81" s="158"/>
      <c r="I81" s="106" t="s">
        <v>97</v>
      </c>
      <c r="J81" s="106">
        <f>+SUMIFS('01'!$D:$D,'01'!$M:$M,$D$78&amp;" - "&amp;$C$78&amp;" - "&amp;$H$78,'01'!$C:$C,'2026-3'!$I81)</f>
        <v>0</v>
      </c>
      <c r="K81" s="106">
        <f>+SUMIFS('01'!$E:$E,'01'!$M:$M,$D$78&amp;" - "&amp;$C$78&amp;" - "&amp;$H$78,'01'!$C:$C,'2026-3'!$I81)</f>
        <v>0</v>
      </c>
      <c r="L81" s="106" t="str">
        <f t="shared" si="34"/>
        <v>0</v>
      </c>
      <c r="M81" s="106"/>
      <c r="N81" s="111">
        <f>IFERROR(IF(L81-M81&lt;0,0,L81-M81),"")</f>
        <v>0</v>
      </c>
      <c r="O81" s="106">
        <f>VALUE(+VLOOKUP(I81,'01'!C:K,9,FALSE))</f>
        <v>9.06E-2</v>
      </c>
      <c r="P81" s="111">
        <f t="shared" si="36"/>
        <v>0</v>
      </c>
      <c r="Q81" s="133"/>
      <c r="R81" s="133"/>
      <c r="S81" s="133"/>
      <c r="T81" s="140"/>
      <c r="V81" s="99"/>
      <c r="W81" s="99"/>
      <c r="X81" s="99"/>
    </row>
    <row r="82" spans="2:26" ht="15.75" thickTop="1" x14ac:dyDescent="0.25">
      <c r="B82" s="159"/>
      <c r="C82" s="159" t="s">
        <v>225</v>
      </c>
      <c r="D82" s="161" t="s">
        <v>256</v>
      </c>
      <c r="E82" s="159" t="s">
        <v>226</v>
      </c>
      <c r="F82" s="159" t="s">
        <v>227</v>
      </c>
      <c r="G82" s="159">
        <v>1</v>
      </c>
      <c r="H82" s="157" t="s">
        <v>247</v>
      </c>
      <c r="I82" s="105" t="s">
        <v>88</v>
      </c>
      <c r="J82" s="105">
        <f>+SUMIFS('02'!C:C,'02'!J:J,D82&amp;" - "&amp;C82&amp;" - "&amp;H82,'02'!B:B,'2026-3'!$I82)</f>
        <v>57</v>
      </c>
      <c r="K82" s="105">
        <f>+SUMIFS('02'!D:D,'02'!J:J,D82&amp;" - "&amp;C82&amp;" - "&amp;H82,'02'!B:B,'2026-3'!$I82)</f>
        <v>8633</v>
      </c>
      <c r="L82" s="105">
        <f>IF(K82-J82&lt;=0,"0",K82-J82)</f>
        <v>8576</v>
      </c>
      <c r="M82" s="113">
        <f>SUMIFS(X:X,V:V,H82,W:W,I82)/COUNTIF(H:H,H82)</f>
        <v>3250</v>
      </c>
      <c r="N82" s="110">
        <f>IFERROR(+L82-M82,"")</f>
        <v>5326</v>
      </c>
      <c r="O82" s="105">
        <f>VALUE(+VLOOKUP(I82,'01'!C:K,9,FALSE))</f>
        <v>1.6799999999999999E-2</v>
      </c>
      <c r="P82" s="110">
        <f>+N82*O82</f>
        <v>89.476799999999997</v>
      </c>
      <c r="Q82" s="131" cm="1">
        <f t="array" ref="Q82">_xlfn._xlws.FILTER(SAP!$B$2,1)/COUNTA($G$2:$G$85)</f>
        <v>51.681904761904761</v>
      </c>
      <c r="R82" s="133">
        <f>+SUM(P82:P85)</f>
        <v>89.476799999999997</v>
      </c>
      <c r="S82">
        <v>941231308</v>
      </c>
      <c r="T82" s="140">
        <v>403</v>
      </c>
      <c r="V82" s="108"/>
      <c r="W82" s="108"/>
      <c r="X82" s="108"/>
      <c r="Y82" s="93"/>
      <c r="Z82" s="92"/>
    </row>
    <row r="83" spans="2:26" x14ac:dyDescent="0.25">
      <c r="B83" s="159"/>
      <c r="C83" s="159"/>
      <c r="D83" s="159"/>
      <c r="E83" s="159"/>
      <c r="F83" s="159"/>
      <c r="G83" s="159"/>
      <c r="H83" s="157"/>
      <c r="I83" s="105" t="s">
        <v>92</v>
      </c>
      <c r="J83" s="105">
        <f>+SUMIFS('02'!C:C,'02'!J:J,D82&amp;" - "&amp;C82&amp;" - "&amp;H82,'02'!B:B,'2026-3'!$I83)</f>
        <v>0</v>
      </c>
      <c r="K83" s="105">
        <f>+SUMIFS('02'!D:D,'02'!J:J,D82&amp;" - "&amp;C82&amp;" - "&amp;H82,'02'!B:B,'2026-3'!$I83)</f>
        <v>0</v>
      </c>
      <c r="L83" s="105" t="str">
        <f t="shared" ref="L83:L85" si="37">IF(K83-J83&lt;=0,"0",K83-J83)</f>
        <v>0</v>
      </c>
      <c r="M83" s="105"/>
      <c r="N83" s="110">
        <f t="shared" ref="N83:N85" si="38">IFERROR(+L83-M83,"")</f>
        <v>0</v>
      </c>
      <c r="O83" s="105">
        <f>VALUE(+VLOOKUP(I83,'01'!C:K,9,FALSE))</f>
        <v>3.0099999999999998E-2</v>
      </c>
      <c r="P83" s="110">
        <f>+N83*O83</f>
        <v>0</v>
      </c>
    </row>
    <row r="84" spans="2:26" x14ac:dyDescent="0.25">
      <c r="B84" s="159"/>
      <c r="C84" s="159"/>
      <c r="D84" s="159"/>
      <c r="E84" s="159"/>
      <c r="F84" s="159"/>
      <c r="G84" s="159"/>
      <c r="H84" s="157"/>
      <c r="I84" s="105" t="s">
        <v>95</v>
      </c>
      <c r="J84" s="105">
        <f>+SUMIFS('02'!C:C,'02'!J:J,D82&amp;" - "&amp;C82&amp;" - "&amp;H82,'02'!B:B,'2026-3'!$I84)</f>
        <v>0</v>
      </c>
      <c r="K84" s="105">
        <f>+SUMIFS('02'!D:D,'02'!J:J,D82&amp;" - "&amp;C82&amp;" - "&amp;H82,'02'!B:B,'2026-3'!$I84)</f>
        <v>0</v>
      </c>
      <c r="L84" s="105" t="str">
        <f t="shared" si="37"/>
        <v>0</v>
      </c>
      <c r="M84" s="113">
        <f>SUMIFS(X:X,V:V,$H82,W:W,I84)/COUNTIF(H:H,$H82)</f>
        <v>0</v>
      </c>
      <c r="N84" s="110">
        <f t="shared" si="38"/>
        <v>0</v>
      </c>
      <c r="O84" s="105">
        <f>VALUE(+VLOOKUP(I84,'01'!C:K,9,FALSE))</f>
        <v>4.7199999999999999E-2</v>
      </c>
      <c r="P84" s="110">
        <f>+N84*O84</f>
        <v>0</v>
      </c>
      <c r="Q84" s="133"/>
      <c r="R84" s="133"/>
      <c r="S84" s="133"/>
      <c r="T84" s="140"/>
    </row>
    <row r="85" spans="2:26" ht="15.75" thickBot="1" x14ac:dyDescent="0.3">
      <c r="B85" s="160"/>
      <c r="C85" s="160"/>
      <c r="D85" s="160"/>
      <c r="E85" s="160"/>
      <c r="F85" s="160"/>
      <c r="G85" s="160"/>
      <c r="H85" s="158"/>
      <c r="I85" s="106" t="s">
        <v>97</v>
      </c>
      <c r="J85" s="106">
        <f>+SUMIFS('02'!C:C,'02'!J:J,D82&amp;" - "&amp;C82&amp;" - "&amp;H82,'02'!B:B,'2026-3'!$I85)</f>
        <v>0</v>
      </c>
      <c r="K85" s="106">
        <f>+SUMIFS('02'!D:D,'02'!J:J,D82&amp;" - "&amp;C82&amp;" - "&amp;H82,'02'!B:B,'2026-3'!$I85)</f>
        <v>0</v>
      </c>
      <c r="L85" s="106" t="str">
        <f t="shared" si="37"/>
        <v>0</v>
      </c>
      <c r="M85" s="106"/>
      <c r="N85" s="111">
        <f t="shared" si="38"/>
        <v>0</v>
      </c>
      <c r="O85" s="106">
        <f>VALUE(+VLOOKUP(I85,'01'!C:K,9,FALSE))</f>
        <v>9.06E-2</v>
      </c>
      <c r="P85" s="111">
        <f t="shared" ref="P85" si="39">+N85*O85</f>
        <v>0</v>
      </c>
      <c r="Q85" s="133"/>
      <c r="R85" s="133"/>
      <c r="S85" s="133"/>
      <c r="T85" s="140"/>
      <c r="U85" s="124"/>
    </row>
    <row r="86" spans="2:26" ht="16.5" thickTop="1" thickBot="1" x14ac:dyDescent="0.3">
      <c r="B86" s="100" t="s">
        <v>49</v>
      </c>
      <c r="C86" s="101"/>
      <c r="D86" s="101"/>
      <c r="E86" s="101"/>
      <c r="F86" s="101"/>
      <c r="G86" s="102">
        <f>SUM(G2:G85)</f>
        <v>21</v>
      </c>
      <c r="H86" s="102"/>
      <c r="I86" s="102"/>
      <c r="J86" s="102"/>
      <c r="K86" s="102"/>
      <c r="L86" s="102"/>
      <c r="M86" s="118"/>
      <c r="N86" s="125"/>
      <c r="O86" s="126" t="s">
        <v>88</v>
      </c>
      <c r="P86" s="127">
        <f>P82+P6+P10+P14</f>
        <v>507.62879999999996</v>
      </c>
      <c r="Q86" s="134"/>
      <c r="R86" s="134"/>
      <c r="S86" s="134"/>
      <c r="T86" s="143"/>
      <c r="U86" s="128" t="s">
        <v>247</v>
      </c>
      <c r="V86" t="s">
        <v>266</v>
      </c>
    </row>
    <row r="87" spans="2:26" ht="15.75" thickBot="1" x14ac:dyDescent="0.3">
      <c r="M87" s="118"/>
      <c r="O87" s="126" t="s">
        <v>88</v>
      </c>
      <c r="P87" s="127">
        <f>+P18+P22+P26+P34+P38+P42+P46+P50</f>
        <v>135.45839999999998</v>
      </c>
      <c r="Q87" s="134"/>
      <c r="R87" s="134"/>
      <c r="S87" s="134"/>
      <c r="T87" s="143"/>
      <c r="U87" s="128" t="s">
        <v>262</v>
      </c>
      <c r="V87" t="s">
        <v>266</v>
      </c>
    </row>
    <row r="88" spans="2:26" ht="15.75" thickBot="1" x14ac:dyDescent="0.3">
      <c r="M88" s="129"/>
      <c r="O88" s="126" t="s">
        <v>95</v>
      </c>
      <c r="P88" s="127">
        <f>+P20+P24+P28+P36+P40+P44+P48+P52</f>
        <v>233.4512</v>
      </c>
      <c r="Q88" s="134"/>
      <c r="R88" s="134"/>
      <c r="S88" s="134"/>
      <c r="T88" s="143"/>
      <c r="U88" s="128" t="s">
        <v>262</v>
      </c>
      <c r="V88" t="s">
        <v>266</v>
      </c>
    </row>
    <row r="89" spans="2:26" ht="15.75" thickBot="1" x14ac:dyDescent="0.3">
      <c r="M89" s="108"/>
      <c r="O89" s="126" t="s">
        <v>88</v>
      </c>
      <c r="P89" s="127">
        <f>+P74+P70+P66+P62+P58+P54</f>
        <v>50.433599999999998</v>
      </c>
      <c r="Q89" s="134"/>
      <c r="R89" s="134"/>
      <c r="S89" s="134"/>
      <c r="T89" s="143"/>
      <c r="U89" s="128" t="s">
        <v>263</v>
      </c>
      <c r="V89" t="s">
        <v>266</v>
      </c>
    </row>
    <row r="90" spans="2:26" ht="15.75" thickBot="1" x14ac:dyDescent="0.3">
      <c r="M90" s="108"/>
      <c r="O90" s="126" t="s">
        <v>95</v>
      </c>
      <c r="P90" s="127">
        <f>+P76+P72+P68+P64+P60+P56</f>
        <v>538.83519999999999</v>
      </c>
      <c r="Q90" s="134"/>
      <c r="R90" s="134"/>
      <c r="S90" s="134"/>
      <c r="T90" s="143"/>
      <c r="U90" s="128" t="s">
        <v>263</v>
      </c>
      <c r="V90" t="s">
        <v>266</v>
      </c>
    </row>
    <row r="91" spans="2:26" ht="15.75" thickBot="1" x14ac:dyDescent="0.3">
      <c r="O91" s="126" t="s">
        <v>88</v>
      </c>
      <c r="P91" s="127">
        <f>+P78</f>
        <v>61.403999999999996</v>
      </c>
      <c r="Q91" s="134"/>
      <c r="R91" s="134"/>
      <c r="S91" s="134"/>
      <c r="T91" s="143"/>
      <c r="U91" s="128" t="s">
        <v>264</v>
      </c>
      <c r="V91" t="s">
        <v>266</v>
      </c>
      <c r="W91" s="124" cm="1">
        <f t="array" ref="W91">+SUM(P34:P85+SUM(P2:P29))</f>
        <v>36679.5216</v>
      </c>
    </row>
    <row r="92" spans="2:26" ht="15.75" thickBot="1" x14ac:dyDescent="0.3">
      <c r="O92" s="126" t="s">
        <v>88</v>
      </c>
      <c r="P92" s="127">
        <f>+P2</f>
        <v>2.8055999999999996</v>
      </c>
      <c r="Q92" s="134"/>
      <c r="R92" s="134"/>
      <c r="S92" s="134"/>
      <c r="T92" s="143"/>
      <c r="U92" s="128" t="s">
        <v>265</v>
      </c>
      <c r="V92" t="s">
        <v>266</v>
      </c>
    </row>
    <row r="93" spans="2:26" ht="15.75" thickBot="1" x14ac:dyDescent="0.3">
      <c r="O93" s="126" t="s">
        <v>97</v>
      </c>
      <c r="P93" s="127">
        <f>+P5</f>
        <v>0.3624</v>
      </c>
      <c r="Q93" s="134"/>
      <c r="R93" s="134"/>
      <c r="S93" s="134"/>
      <c r="T93" s="143"/>
      <c r="U93" s="128" t="s">
        <v>267</v>
      </c>
      <c r="V93" t="s">
        <v>266</v>
      </c>
    </row>
    <row r="94" spans="2:26" x14ac:dyDescent="0.25">
      <c r="P94" s="112">
        <f>SUM(P86:P93)</f>
        <v>1530.3791999999996</v>
      </c>
    </row>
    <row r="96" spans="2:26" x14ac:dyDescent="0.25">
      <c r="P96" s="112">
        <f>+P94+P30+P32</f>
        <v>1967.7415999999996</v>
      </c>
      <c r="R96" s="112">
        <f>SUM(R2:R84)</f>
        <v>1962.5023999999999</v>
      </c>
    </row>
    <row r="97" spans="18:18" x14ac:dyDescent="0.25">
      <c r="R97" s="112">
        <f>+R96-P96</f>
        <v>-5.2391999999997552</v>
      </c>
    </row>
  </sheetData>
  <autoFilter ref="H1:H96" xr:uid="{B1A81751-CD54-4DB1-B959-AD61045D7BD7}"/>
  <mergeCells count="155">
    <mergeCell ref="U66:U69"/>
    <mergeCell ref="G78:G81"/>
    <mergeCell ref="H78:H81"/>
    <mergeCell ref="B82:B85"/>
    <mergeCell ref="C82:C85"/>
    <mergeCell ref="D82:D85"/>
    <mergeCell ref="E82:E85"/>
    <mergeCell ref="F82:F85"/>
    <mergeCell ref="G82:G85"/>
    <mergeCell ref="H82:H85"/>
    <mergeCell ref="B78:B81"/>
    <mergeCell ref="C78:C81"/>
    <mergeCell ref="D78:D81"/>
    <mergeCell ref="E78:E81"/>
    <mergeCell ref="F78:F81"/>
    <mergeCell ref="G70:G73"/>
    <mergeCell ref="H70:H73"/>
    <mergeCell ref="B74:B77"/>
    <mergeCell ref="C74:C77"/>
    <mergeCell ref="D74:D77"/>
    <mergeCell ref="E74:E77"/>
    <mergeCell ref="F74:F77"/>
    <mergeCell ref="G74:G77"/>
    <mergeCell ref="H74:H77"/>
    <mergeCell ref="B70:B73"/>
    <mergeCell ref="C70:C73"/>
    <mergeCell ref="D70:D73"/>
    <mergeCell ref="E70:E73"/>
    <mergeCell ref="F70:F73"/>
    <mergeCell ref="G62:G65"/>
    <mergeCell ref="H62:H65"/>
    <mergeCell ref="B66:B69"/>
    <mergeCell ref="C66:C69"/>
    <mergeCell ref="D66:D69"/>
    <mergeCell ref="E66:E69"/>
    <mergeCell ref="F66:F69"/>
    <mergeCell ref="G66:G69"/>
    <mergeCell ref="H66:H69"/>
    <mergeCell ref="B62:B65"/>
    <mergeCell ref="C62:C65"/>
    <mergeCell ref="D62:D65"/>
    <mergeCell ref="E62:E65"/>
    <mergeCell ref="F62:F65"/>
    <mergeCell ref="G54:G57"/>
    <mergeCell ref="H54:H57"/>
    <mergeCell ref="B58:B61"/>
    <mergeCell ref="C58:C61"/>
    <mergeCell ref="D58:D61"/>
    <mergeCell ref="E58:E61"/>
    <mergeCell ref="F58:F61"/>
    <mergeCell ref="G58:G61"/>
    <mergeCell ref="H58:H61"/>
    <mergeCell ref="B54:B57"/>
    <mergeCell ref="C54:C57"/>
    <mergeCell ref="D54:D57"/>
    <mergeCell ref="E54:E57"/>
    <mergeCell ref="F54:F57"/>
    <mergeCell ref="G46:G49"/>
    <mergeCell ref="H46:H49"/>
    <mergeCell ref="B50:B53"/>
    <mergeCell ref="C50:C53"/>
    <mergeCell ref="D50:D53"/>
    <mergeCell ref="E50:E53"/>
    <mergeCell ref="F50:F53"/>
    <mergeCell ref="G50:G53"/>
    <mergeCell ref="H50:H53"/>
    <mergeCell ref="B46:B49"/>
    <mergeCell ref="C46:C49"/>
    <mergeCell ref="D46:D49"/>
    <mergeCell ref="E46:E49"/>
    <mergeCell ref="F46:F49"/>
    <mergeCell ref="G38:G41"/>
    <mergeCell ref="H38:H41"/>
    <mergeCell ref="B42:B45"/>
    <mergeCell ref="C42:C45"/>
    <mergeCell ref="D42:D45"/>
    <mergeCell ref="E42:E45"/>
    <mergeCell ref="F42:F45"/>
    <mergeCell ref="G42:G45"/>
    <mergeCell ref="H42:H45"/>
    <mergeCell ref="B38:B41"/>
    <mergeCell ref="C38:C41"/>
    <mergeCell ref="D38:D41"/>
    <mergeCell ref="E38:E41"/>
    <mergeCell ref="F38:F41"/>
    <mergeCell ref="G30:G33"/>
    <mergeCell ref="H30:H33"/>
    <mergeCell ref="B34:B37"/>
    <mergeCell ref="C34:C37"/>
    <mergeCell ref="D34:D37"/>
    <mergeCell ref="E34:E37"/>
    <mergeCell ref="F34:F37"/>
    <mergeCell ref="G34:G37"/>
    <mergeCell ref="H34:H37"/>
    <mergeCell ref="B30:B33"/>
    <mergeCell ref="C30:C33"/>
    <mergeCell ref="D30:D33"/>
    <mergeCell ref="E30:E33"/>
    <mergeCell ref="F30:F33"/>
    <mergeCell ref="U22:U25"/>
    <mergeCell ref="U18:U21"/>
    <mergeCell ref="B26:B29"/>
    <mergeCell ref="C26:C29"/>
    <mergeCell ref="D26:D29"/>
    <mergeCell ref="E26:E29"/>
    <mergeCell ref="F26:F29"/>
    <mergeCell ref="G26:G29"/>
    <mergeCell ref="H26:H29"/>
    <mergeCell ref="U26:U29"/>
    <mergeCell ref="B22:B25"/>
    <mergeCell ref="C22:C25"/>
    <mergeCell ref="D22:D25"/>
    <mergeCell ref="E22:E25"/>
    <mergeCell ref="F22:F25"/>
    <mergeCell ref="B18:B21"/>
    <mergeCell ref="C18:C21"/>
    <mergeCell ref="D18:D21"/>
    <mergeCell ref="E18:E21"/>
    <mergeCell ref="F18:F21"/>
    <mergeCell ref="G18:G21"/>
    <mergeCell ref="H18:H21"/>
    <mergeCell ref="G6:G9"/>
    <mergeCell ref="H2:H5"/>
    <mergeCell ref="G2:G5"/>
    <mergeCell ref="F2:F5"/>
    <mergeCell ref="E2:E5"/>
    <mergeCell ref="D2:D5"/>
    <mergeCell ref="C2:C5"/>
    <mergeCell ref="G22:G25"/>
    <mergeCell ref="H22:H25"/>
    <mergeCell ref="H10:H13"/>
    <mergeCell ref="U2:U5"/>
    <mergeCell ref="U6:U9"/>
    <mergeCell ref="U10:U13"/>
    <mergeCell ref="B14:B17"/>
    <mergeCell ref="C14:C17"/>
    <mergeCell ref="D14:D17"/>
    <mergeCell ref="E14:E17"/>
    <mergeCell ref="F14:F17"/>
    <mergeCell ref="G14:G17"/>
    <mergeCell ref="B10:B13"/>
    <mergeCell ref="C10:C13"/>
    <mergeCell ref="D10:D13"/>
    <mergeCell ref="E10:E13"/>
    <mergeCell ref="F10:F13"/>
    <mergeCell ref="G10:G13"/>
    <mergeCell ref="H14:H17"/>
    <mergeCell ref="U14:U17"/>
    <mergeCell ref="B2:B5"/>
    <mergeCell ref="H6:H9"/>
    <mergeCell ref="B6:B9"/>
    <mergeCell ref="C6:C9"/>
    <mergeCell ref="D6:D9"/>
    <mergeCell ref="E6:E9"/>
    <mergeCell ref="F6:F9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E256"/>
  <sheetViews>
    <sheetView showGridLines="0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F7" sqref="F7"/>
    </sheetView>
  </sheetViews>
  <sheetFormatPr baseColWidth="10" defaultColWidth="9.140625" defaultRowHeight="15" outlineLevelRow="1" outlineLevelCol="1" x14ac:dyDescent="0.25"/>
  <cols>
    <col min="1" max="1" width="9.140625" style="2" customWidth="1" outlineLevel="1"/>
    <col min="2" max="2" width="23" bestFit="1" customWidth="1"/>
    <col min="3" max="3" width="25.7109375" bestFit="1" customWidth="1"/>
    <col min="4" max="5" width="9.85546875" style="2" customWidth="1"/>
    <col min="6" max="6" width="10.42578125" style="4" customWidth="1"/>
    <col min="7" max="7" width="9.28515625" style="2" customWidth="1" outlineLevel="1"/>
    <col min="8" max="8" width="11.42578125" style="3" customWidth="1"/>
    <col min="9" max="9" width="10" style="2" hidden="1" customWidth="1"/>
    <col min="10" max="10" width="11" style="4" hidden="1" customWidth="1"/>
    <col min="11" max="11" width="9.28515625" style="2" hidden="1" customWidth="1" outlineLevel="1"/>
    <col min="12" max="12" width="10.85546875" style="3" hidden="1" customWidth="1" collapsed="1"/>
    <col min="13" max="13" width="10.140625" style="2" hidden="1" customWidth="1"/>
    <col min="14" max="14" width="11" style="4" hidden="1" customWidth="1"/>
    <col min="15" max="15" width="9.28515625" style="2" hidden="1" customWidth="1" outlineLevel="1"/>
    <col min="16" max="16" width="10.85546875" style="3" hidden="1" customWidth="1" collapsed="1"/>
    <col min="17" max="17" width="10" style="2" hidden="1" customWidth="1"/>
    <col min="18" max="18" width="11" style="4" hidden="1" customWidth="1"/>
    <col min="19" max="19" width="9.28515625" style="2" hidden="1" customWidth="1" outlineLevel="1"/>
    <col min="20" max="20" width="10.85546875" style="3" hidden="1" customWidth="1" collapsed="1"/>
    <col min="21" max="21" width="10" style="2" hidden="1" customWidth="1"/>
    <col min="22" max="22" width="11" style="4" hidden="1" customWidth="1"/>
    <col min="23" max="23" width="9.28515625" style="2" hidden="1" customWidth="1" outlineLevel="1"/>
    <col min="24" max="24" width="10.85546875" style="3" hidden="1" customWidth="1" collapsed="1"/>
    <col min="25" max="25" width="10" style="2" hidden="1" customWidth="1"/>
    <col min="26" max="26" width="11" style="4" hidden="1" customWidth="1"/>
    <col min="27" max="27" width="9.28515625" style="2" hidden="1" customWidth="1" outlineLevel="1"/>
    <col min="28" max="28" width="10.85546875" style="3" hidden="1" customWidth="1" collapsed="1"/>
    <col min="29" max="30" width="9.140625" style="2" hidden="1" customWidth="1"/>
    <col min="31" max="31" width="0" style="2" hidden="1" customWidth="1"/>
    <col min="32" max="32" width="12" style="2" hidden="1" customWidth="1"/>
    <col min="33" max="39" width="0" style="2" hidden="1" customWidth="1"/>
    <col min="40" max="57" width="9.140625" style="2"/>
  </cols>
  <sheetData>
    <row r="1" spans="1:57" s="2" customFormat="1" x14ac:dyDescent="0.25">
      <c r="F1" s="4"/>
      <c r="H1" s="3"/>
      <c r="J1" s="4"/>
      <c r="L1" s="3"/>
      <c r="N1" s="4"/>
      <c r="P1" s="3"/>
      <c r="R1" s="4"/>
      <c r="T1" s="3"/>
      <c r="V1" s="4"/>
      <c r="X1" s="3"/>
      <c r="Z1" s="4"/>
      <c r="AB1" s="3"/>
    </row>
    <row r="2" spans="1:57" s="2" customFormat="1" x14ac:dyDescent="0.25">
      <c r="B2" s="174" t="s">
        <v>163</v>
      </c>
      <c r="C2" s="175"/>
      <c r="F2" s="4"/>
      <c r="H2" s="3"/>
      <c r="J2" s="4"/>
      <c r="L2" s="3"/>
      <c r="N2" s="4"/>
      <c r="P2" s="3"/>
      <c r="R2" s="4"/>
      <c r="T2" s="3"/>
      <c r="V2" s="4"/>
      <c r="X2" s="3"/>
      <c r="Z2" s="4"/>
      <c r="AB2" s="3"/>
    </row>
    <row r="3" spans="1:57" s="2" customFormat="1" x14ac:dyDescent="0.25">
      <c r="B3" s="176"/>
      <c r="C3" s="177"/>
      <c r="F3" s="4"/>
      <c r="H3" s="3"/>
      <c r="J3" s="4"/>
      <c r="L3" s="3"/>
      <c r="N3" s="4"/>
      <c r="P3" s="3"/>
      <c r="R3" s="4"/>
      <c r="T3" s="3"/>
      <c r="V3" s="4"/>
      <c r="X3" s="3"/>
      <c r="Z3" s="4"/>
      <c r="AB3" s="3"/>
    </row>
    <row r="4" spans="1:57" s="2" customFormat="1" x14ac:dyDescent="0.25">
      <c r="F4" s="4"/>
      <c r="J4" s="4"/>
      <c r="N4" s="4"/>
      <c r="R4" s="4"/>
      <c r="V4" s="4"/>
      <c r="Z4" s="4"/>
    </row>
    <row r="5" spans="1:57" s="30" customFormat="1" x14ac:dyDescent="0.25">
      <c r="D5" s="171">
        <v>44562</v>
      </c>
      <c r="E5" s="172"/>
      <c r="F5" s="172"/>
      <c r="G5" s="172"/>
      <c r="H5" s="173"/>
      <c r="I5" s="171">
        <v>44593</v>
      </c>
      <c r="J5" s="172"/>
      <c r="K5" s="172"/>
      <c r="L5" s="173"/>
      <c r="M5" s="171">
        <v>44621</v>
      </c>
      <c r="N5" s="172"/>
      <c r="O5" s="172"/>
      <c r="P5" s="173"/>
      <c r="Q5" s="171">
        <v>44652</v>
      </c>
      <c r="R5" s="172"/>
      <c r="S5" s="172"/>
      <c r="T5" s="173"/>
      <c r="U5" s="171">
        <v>44682</v>
      </c>
      <c r="V5" s="172"/>
      <c r="W5" s="172"/>
      <c r="X5" s="173"/>
      <c r="Y5" s="171">
        <v>44713</v>
      </c>
      <c r="Z5" s="172"/>
      <c r="AA5" s="172"/>
      <c r="AB5" s="173"/>
      <c r="AC5" s="171">
        <v>44743</v>
      </c>
      <c r="AD5" s="172"/>
      <c r="AE5" s="172"/>
      <c r="AF5" s="173"/>
    </row>
    <row r="6" spans="1:57" x14ac:dyDescent="0.25">
      <c r="B6" s="35" t="s">
        <v>1</v>
      </c>
      <c r="C6" s="35" t="s">
        <v>0</v>
      </c>
      <c r="D6" s="35" t="s">
        <v>50</v>
      </c>
      <c r="E6" s="35" t="s">
        <v>164</v>
      </c>
      <c r="F6" s="36" t="s">
        <v>47</v>
      </c>
      <c r="G6" s="35" t="s">
        <v>48</v>
      </c>
      <c r="H6" s="35" t="s">
        <v>49</v>
      </c>
      <c r="I6" s="35" t="s">
        <v>50</v>
      </c>
      <c r="J6" s="36" t="s">
        <v>47</v>
      </c>
      <c r="K6" s="35" t="s">
        <v>48</v>
      </c>
      <c r="L6" s="35" t="s">
        <v>49</v>
      </c>
      <c r="M6" s="35" t="s">
        <v>50</v>
      </c>
      <c r="N6" s="36" t="s">
        <v>47</v>
      </c>
      <c r="O6" s="35" t="s">
        <v>48</v>
      </c>
      <c r="P6" s="35" t="s">
        <v>49</v>
      </c>
      <c r="Q6" s="35" t="s">
        <v>50</v>
      </c>
      <c r="R6" s="36" t="s">
        <v>47</v>
      </c>
      <c r="S6" s="35" t="s">
        <v>48</v>
      </c>
      <c r="T6" s="35" t="s">
        <v>49</v>
      </c>
      <c r="U6" s="35" t="s">
        <v>50</v>
      </c>
      <c r="V6" s="36" t="s">
        <v>47</v>
      </c>
      <c r="W6" s="35" t="s">
        <v>48</v>
      </c>
      <c r="X6" s="35" t="s">
        <v>49</v>
      </c>
      <c r="Y6" s="35" t="s">
        <v>50</v>
      </c>
      <c r="Z6" s="36" t="s">
        <v>47</v>
      </c>
      <c r="AA6" s="35" t="s">
        <v>48</v>
      </c>
      <c r="AB6" s="35" t="s">
        <v>49</v>
      </c>
      <c r="AC6" s="35" t="s">
        <v>50</v>
      </c>
      <c r="AD6" s="36" t="s">
        <v>47</v>
      </c>
      <c r="AE6" s="35" t="s">
        <v>48</v>
      </c>
      <c r="AF6" s="35" t="s">
        <v>49</v>
      </c>
    </row>
    <row r="7" spans="1:57" x14ac:dyDescent="0.25">
      <c r="A7" s="29"/>
      <c r="B7" s="19" t="s">
        <v>87</v>
      </c>
      <c r="C7" s="21" t="s">
        <v>43</v>
      </c>
      <c r="D7" s="6" t="s">
        <v>88</v>
      </c>
      <c r="E7" s="6"/>
      <c r="F7" s="41"/>
      <c r="G7" s="6">
        <v>1.11E-2</v>
      </c>
      <c r="H7" s="7">
        <f>+F7*G7</f>
        <v>0</v>
      </c>
      <c r="I7" s="6" t="s">
        <v>52</v>
      </c>
      <c r="J7" s="41">
        <v>1625</v>
      </c>
      <c r="K7" s="6">
        <v>1.11E-2</v>
      </c>
      <c r="L7" s="7">
        <f>+J7*K7</f>
        <v>18.037500000000001</v>
      </c>
      <c r="M7" s="6" t="s">
        <v>52</v>
      </c>
      <c r="N7" s="41">
        <v>2826</v>
      </c>
      <c r="O7" s="6">
        <v>1.11E-2</v>
      </c>
      <c r="P7" s="7">
        <f>+N7*O7</f>
        <v>31.368600000000001</v>
      </c>
      <c r="Q7" s="6" t="s">
        <v>52</v>
      </c>
      <c r="R7" s="41">
        <v>1912</v>
      </c>
      <c r="S7" s="6">
        <v>1.11E-2</v>
      </c>
      <c r="T7" s="7">
        <f>+R7*S7</f>
        <v>21.223200000000002</v>
      </c>
      <c r="U7" s="6" t="s">
        <v>52</v>
      </c>
      <c r="V7" s="41">
        <v>2371</v>
      </c>
      <c r="W7" s="6">
        <v>1.11E-2</v>
      </c>
      <c r="X7" s="7">
        <f>+V7*W7</f>
        <v>26.318100000000001</v>
      </c>
      <c r="Y7" s="6" t="s">
        <v>52</v>
      </c>
      <c r="Z7" s="41">
        <v>1644</v>
      </c>
      <c r="AA7" s="6">
        <v>1.11E-2</v>
      </c>
      <c r="AB7" s="7">
        <f>+Z7*AA7</f>
        <v>18.2484</v>
      </c>
      <c r="AC7" s="6" t="s">
        <v>52</v>
      </c>
      <c r="AD7" s="41">
        <v>23230</v>
      </c>
      <c r="AE7" s="6">
        <v>1.11E-2</v>
      </c>
      <c r="AF7" s="7">
        <f>+AD7*AE7</f>
        <v>257.85300000000001</v>
      </c>
    </row>
    <row r="8" spans="1:57" x14ac:dyDescent="0.25">
      <c r="A8" s="29"/>
      <c r="B8" s="94"/>
      <c r="C8" s="95"/>
      <c r="D8" s="2" t="s">
        <v>92</v>
      </c>
      <c r="F8" s="96"/>
      <c r="H8" s="97"/>
      <c r="J8" s="96"/>
      <c r="L8" s="97"/>
      <c r="N8" s="96"/>
      <c r="P8" s="97"/>
      <c r="R8" s="96"/>
      <c r="T8" s="97"/>
      <c r="V8" s="96"/>
      <c r="X8" s="97"/>
      <c r="Z8" s="96"/>
      <c r="AB8" s="97"/>
      <c r="AD8" s="96"/>
      <c r="AF8" s="97"/>
    </row>
    <row r="9" spans="1:57" x14ac:dyDescent="0.25">
      <c r="A9" s="29"/>
      <c r="B9" s="94"/>
      <c r="C9" s="95"/>
      <c r="D9" s="2" t="s">
        <v>95</v>
      </c>
      <c r="F9" s="96"/>
      <c r="H9" s="97"/>
      <c r="J9" s="96"/>
      <c r="L9" s="97"/>
      <c r="N9" s="96"/>
      <c r="P9" s="97"/>
      <c r="R9" s="96"/>
      <c r="T9" s="97"/>
      <c r="V9" s="96"/>
      <c r="X9" s="97"/>
      <c r="Z9" s="96"/>
      <c r="AB9" s="97"/>
      <c r="AD9" s="96"/>
      <c r="AF9" s="97"/>
    </row>
    <row r="10" spans="1:57" x14ac:dyDescent="0.25">
      <c r="B10" s="20"/>
      <c r="C10" s="22"/>
      <c r="D10" s="9" t="s">
        <v>97</v>
      </c>
      <c r="E10" s="9"/>
      <c r="F10" s="42"/>
      <c r="G10" s="9">
        <v>5.0099999999999999E-2</v>
      </c>
      <c r="H10" s="10">
        <f t="shared" ref="H10" si="0">+F10*G10</f>
        <v>0</v>
      </c>
      <c r="I10" s="9" t="s">
        <v>51</v>
      </c>
      <c r="J10" s="42"/>
      <c r="K10" s="9">
        <v>5.0099999999999999E-2</v>
      </c>
      <c r="L10" s="10">
        <f t="shared" ref="L10" si="1">+J10*K10</f>
        <v>0</v>
      </c>
      <c r="M10" s="9" t="s">
        <v>51</v>
      </c>
      <c r="N10" s="42"/>
      <c r="O10" s="9">
        <v>5.0099999999999999E-2</v>
      </c>
      <c r="P10" s="10">
        <f t="shared" ref="P10" si="2">+N10*O10</f>
        <v>0</v>
      </c>
      <c r="Q10" s="9" t="s">
        <v>51</v>
      </c>
      <c r="R10" s="42"/>
      <c r="S10" s="9">
        <v>5.0099999999999999E-2</v>
      </c>
      <c r="T10" s="10">
        <f t="shared" ref="T10" si="3">+R10*S10</f>
        <v>0</v>
      </c>
      <c r="U10" s="9" t="s">
        <v>51</v>
      </c>
      <c r="V10" s="42"/>
      <c r="W10" s="9">
        <v>5.0099999999999999E-2</v>
      </c>
      <c r="X10" s="10">
        <f t="shared" ref="X10" si="4">+V10*W10</f>
        <v>0</v>
      </c>
      <c r="Y10" s="9" t="s">
        <v>51</v>
      </c>
      <c r="Z10" s="42"/>
      <c r="AA10" s="9">
        <v>5.0099999999999999E-2</v>
      </c>
      <c r="AB10" s="10">
        <f t="shared" ref="AB10" si="5">+Z10*AA10</f>
        <v>0</v>
      </c>
      <c r="AC10" s="9" t="s">
        <v>51</v>
      </c>
      <c r="AD10" s="42"/>
      <c r="AE10" s="9">
        <v>5.0099999999999999E-2</v>
      </c>
      <c r="AF10" s="10">
        <f t="shared" ref="AF10" si="6">+AD10*AE10</f>
        <v>0</v>
      </c>
    </row>
    <row r="11" spans="1:57" x14ac:dyDescent="0.25">
      <c r="B11" s="15" t="s">
        <v>9</v>
      </c>
      <c r="C11" s="16" t="s">
        <v>8</v>
      </c>
      <c r="D11" s="6" t="s">
        <v>52</v>
      </c>
      <c r="E11" s="6"/>
      <c r="F11" s="41">
        <v>325</v>
      </c>
      <c r="G11" s="6">
        <v>1.9800000000000002E-2</v>
      </c>
      <c r="H11" s="7">
        <f>+F11*G11</f>
        <v>6.4350000000000005</v>
      </c>
      <c r="I11" s="6" t="s">
        <v>52</v>
      </c>
      <c r="J11" s="41">
        <v>686</v>
      </c>
      <c r="K11" s="6">
        <v>1.9800000000000002E-2</v>
      </c>
      <c r="L11" s="7">
        <f>+J11*K11</f>
        <v>13.582800000000001</v>
      </c>
      <c r="M11" s="6" t="s">
        <v>52</v>
      </c>
      <c r="N11" s="41">
        <v>347</v>
      </c>
      <c r="O11" s="6">
        <v>1.9800000000000002E-2</v>
      </c>
      <c r="P11" s="7">
        <f>+N11*O11</f>
        <v>6.8706000000000005</v>
      </c>
      <c r="Q11" s="6" t="s">
        <v>52</v>
      </c>
      <c r="R11" s="41">
        <v>248</v>
      </c>
      <c r="S11" s="6">
        <v>1.9800000000000002E-2</v>
      </c>
      <c r="T11" s="7">
        <f>+R11*S11</f>
        <v>4.9104000000000001</v>
      </c>
      <c r="U11" s="6" t="s">
        <v>52</v>
      </c>
      <c r="V11" s="41">
        <v>600</v>
      </c>
      <c r="W11" s="6">
        <v>1.9800000000000002E-2</v>
      </c>
      <c r="X11" s="7">
        <f>+V11*W11</f>
        <v>11.88</v>
      </c>
      <c r="Y11" s="6" t="s">
        <v>52</v>
      </c>
      <c r="Z11" s="76">
        <v>1197</v>
      </c>
      <c r="AA11" s="6">
        <v>1.9800000000000002E-2</v>
      </c>
      <c r="AB11" s="7">
        <f>+Z11*AA11</f>
        <v>23.700600000000001</v>
      </c>
      <c r="AC11" s="6" t="s">
        <v>52</v>
      </c>
      <c r="AD11" s="76">
        <v>753</v>
      </c>
      <c r="AE11" s="6">
        <v>1.9800000000000002E-2</v>
      </c>
      <c r="AF11" s="7">
        <f>+AD11*AE11</f>
        <v>14.909400000000002</v>
      </c>
    </row>
    <row r="12" spans="1:57" x14ac:dyDescent="0.25">
      <c r="B12" s="17" t="s">
        <v>9</v>
      </c>
      <c r="C12" s="18" t="s">
        <v>8</v>
      </c>
      <c r="D12" s="9" t="s">
        <v>51</v>
      </c>
      <c r="E12" s="9"/>
      <c r="F12" s="42">
        <v>2</v>
      </c>
      <c r="G12" s="9">
        <v>5.0099999999999999E-2</v>
      </c>
      <c r="H12" s="10">
        <f t="shared" ref="H12" si="7">+F12*G12</f>
        <v>0.1002</v>
      </c>
      <c r="I12" s="9" t="s">
        <v>51</v>
      </c>
      <c r="J12" s="42"/>
      <c r="K12" s="9">
        <v>5.0099999999999999E-2</v>
      </c>
      <c r="L12" s="10">
        <f t="shared" ref="L12" si="8">+J12*K12</f>
        <v>0</v>
      </c>
      <c r="M12" s="9" t="s">
        <v>51</v>
      </c>
      <c r="N12" s="42"/>
      <c r="O12" s="9">
        <v>5.0099999999999999E-2</v>
      </c>
      <c r="P12" s="10">
        <f t="shared" ref="P12" si="9">+N12*O12</f>
        <v>0</v>
      </c>
      <c r="Q12" s="9" t="s">
        <v>51</v>
      </c>
      <c r="R12" s="42"/>
      <c r="S12" s="9">
        <v>5.0099999999999999E-2</v>
      </c>
      <c r="T12" s="10">
        <f t="shared" ref="T12" si="10">+R12*S12</f>
        <v>0</v>
      </c>
      <c r="U12" s="9" t="s">
        <v>51</v>
      </c>
      <c r="V12" s="42">
        <v>1</v>
      </c>
      <c r="W12" s="9">
        <v>5.0099999999999999E-2</v>
      </c>
      <c r="X12" s="10">
        <f t="shared" ref="X12" si="11">+V12*W12</f>
        <v>5.0099999999999999E-2</v>
      </c>
      <c r="Y12" s="9" t="s">
        <v>51</v>
      </c>
      <c r="Z12" s="42"/>
      <c r="AA12" s="9">
        <v>5.0099999999999999E-2</v>
      </c>
      <c r="AB12" s="10">
        <f t="shared" ref="AB12" si="12">+Z12*AA12</f>
        <v>0</v>
      </c>
      <c r="AC12" s="9" t="s">
        <v>51</v>
      </c>
      <c r="AD12" s="42"/>
      <c r="AE12" s="9">
        <v>5.0099999999999999E-2</v>
      </c>
      <c r="AF12" s="10">
        <f t="shared" ref="AF12" si="13">+AD12*AE12</f>
        <v>0</v>
      </c>
    </row>
    <row r="13" spans="1:57" s="54" customFormat="1" x14ac:dyDescent="0.25">
      <c r="A13" s="48"/>
      <c r="B13" s="49" t="s">
        <v>34</v>
      </c>
      <c r="C13" s="50" t="s">
        <v>33</v>
      </c>
      <c r="D13" s="51" t="s">
        <v>52</v>
      </c>
      <c r="E13" s="51"/>
      <c r="F13" s="52">
        <v>2436</v>
      </c>
      <c r="G13" s="51">
        <v>1.9800000000000002E-2</v>
      </c>
      <c r="H13" s="53">
        <f>+F13*G13</f>
        <v>48.232800000000005</v>
      </c>
      <c r="I13" s="51" t="s">
        <v>52</v>
      </c>
      <c r="J13" s="52">
        <v>1994</v>
      </c>
      <c r="K13" s="51">
        <v>1.9800000000000002E-2</v>
      </c>
      <c r="L13" s="53">
        <f>+J13*K13</f>
        <v>39.481200000000001</v>
      </c>
      <c r="M13" s="51" t="s">
        <v>52</v>
      </c>
      <c r="N13" s="52">
        <v>2678</v>
      </c>
      <c r="O13" s="51">
        <v>1.9800000000000002E-2</v>
      </c>
      <c r="P13" s="53">
        <f>+N13*O13</f>
        <v>53.024400000000007</v>
      </c>
      <c r="Q13" s="51" t="s">
        <v>52</v>
      </c>
      <c r="R13" s="52">
        <v>2164</v>
      </c>
      <c r="S13" s="51">
        <v>1.9800000000000002E-2</v>
      </c>
      <c r="T13" s="53">
        <f>+R13*S13</f>
        <v>42.847200000000001</v>
      </c>
      <c r="U13" s="51" t="s">
        <v>52</v>
      </c>
      <c r="V13" s="52">
        <v>1972</v>
      </c>
      <c r="W13" s="51">
        <v>1.9800000000000002E-2</v>
      </c>
      <c r="X13" s="53">
        <f>+V13*W13</f>
        <v>39.0456</v>
      </c>
      <c r="Y13" s="51" t="s">
        <v>52</v>
      </c>
      <c r="Z13" s="52">
        <v>904</v>
      </c>
      <c r="AA13" s="51">
        <v>1.9800000000000002E-2</v>
      </c>
      <c r="AB13" s="53">
        <f>+Z13*AA13</f>
        <v>17.8992</v>
      </c>
      <c r="AC13" s="51" t="s">
        <v>52</v>
      </c>
      <c r="AD13" s="52">
        <v>2482</v>
      </c>
      <c r="AE13" s="51">
        <v>1.9800000000000002E-2</v>
      </c>
      <c r="AF13" s="53">
        <f>+AD13*AE13</f>
        <v>49.143600000000006</v>
      </c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</row>
    <row r="14" spans="1:57" s="54" customFormat="1" x14ac:dyDescent="0.25">
      <c r="A14" s="48"/>
      <c r="B14" s="55" t="s">
        <v>34</v>
      </c>
      <c r="C14" s="56" t="s">
        <v>33</v>
      </c>
      <c r="D14" s="57" t="s">
        <v>51</v>
      </c>
      <c r="E14" s="57"/>
      <c r="F14" s="58">
        <v>187</v>
      </c>
      <c r="G14" s="57">
        <v>5.0099999999999999E-2</v>
      </c>
      <c r="H14" s="59">
        <f>+F14*G14</f>
        <v>9.3687000000000005</v>
      </c>
      <c r="I14" s="57" t="s">
        <v>51</v>
      </c>
      <c r="J14" s="58">
        <v>82</v>
      </c>
      <c r="K14" s="57">
        <v>5.0099999999999999E-2</v>
      </c>
      <c r="L14" s="59">
        <f>+J14*K14</f>
        <v>4.1082000000000001</v>
      </c>
      <c r="M14" s="57" t="s">
        <v>51</v>
      </c>
      <c r="N14" s="75">
        <v>4215</v>
      </c>
      <c r="O14" s="57">
        <v>5.0099999999999999E-2</v>
      </c>
      <c r="P14" s="59">
        <f>+N14*O14</f>
        <v>211.17149999999998</v>
      </c>
      <c r="Q14" s="57" t="s">
        <v>51</v>
      </c>
      <c r="R14" s="58">
        <v>141</v>
      </c>
      <c r="S14" s="57">
        <v>5.0099999999999999E-2</v>
      </c>
      <c r="T14" s="59">
        <f>+R14*S14</f>
        <v>7.0640999999999998</v>
      </c>
      <c r="U14" s="57" t="s">
        <v>51</v>
      </c>
      <c r="V14" s="58">
        <v>34</v>
      </c>
      <c r="W14" s="57">
        <v>5.0099999999999999E-2</v>
      </c>
      <c r="X14" s="59">
        <f>+V14*W14</f>
        <v>1.7034</v>
      </c>
      <c r="Y14" s="57" t="s">
        <v>51</v>
      </c>
      <c r="Z14" s="58">
        <v>266</v>
      </c>
      <c r="AA14" s="57">
        <v>5.0099999999999999E-2</v>
      </c>
      <c r="AB14" s="59">
        <f>+Z14*AA14</f>
        <v>13.326599999999999</v>
      </c>
      <c r="AC14" s="57" t="s">
        <v>51</v>
      </c>
      <c r="AD14" s="58">
        <v>207</v>
      </c>
      <c r="AE14" s="57">
        <v>5.0099999999999999E-2</v>
      </c>
      <c r="AF14" s="59">
        <f>+AD14*AE14</f>
        <v>10.370699999999999</v>
      </c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</row>
    <row r="15" spans="1:57" x14ac:dyDescent="0.25">
      <c r="A15" s="1" t="s">
        <v>12</v>
      </c>
      <c r="B15" s="11" t="s">
        <v>23</v>
      </c>
      <c r="C15" s="12" t="s">
        <v>10</v>
      </c>
      <c r="D15" s="6" t="s">
        <v>52</v>
      </c>
      <c r="E15" s="6"/>
      <c r="F15" s="41"/>
      <c r="G15" s="6">
        <v>1.9800000000000002E-2</v>
      </c>
      <c r="H15" s="7">
        <f>+F15*G15</f>
        <v>0</v>
      </c>
      <c r="I15" s="6" t="s">
        <v>52</v>
      </c>
      <c r="J15" s="41"/>
      <c r="K15" s="6">
        <v>1.9800000000000002E-2</v>
      </c>
      <c r="L15" s="7">
        <f>+J15*K15</f>
        <v>0</v>
      </c>
      <c r="M15" s="6" t="s">
        <v>52</v>
      </c>
      <c r="N15" s="41"/>
      <c r="O15" s="6">
        <v>1.9800000000000002E-2</v>
      </c>
      <c r="P15" s="7">
        <f>+N15*O15</f>
        <v>0</v>
      </c>
      <c r="Q15" s="6" t="s">
        <v>52</v>
      </c>
      <c r="R15" s="41"/>
      <c r="S15" s="6">
        <v>1.9800000000000002E-2</v>
      </c>
      <c r="T15" s="7">
        <f>+R15*S15</f>
        <v>0</v>
      </c>
      <c r="U15" s="6" t="s">
        <v>52</v>
      </c>
      <c r="V15" s="41"/>
      <c r="W15" s="6">
        <v>1.9800000000000002E-2</v>
      </c>
      <c r="X15" s="7">
        <f>+V15*W15</f>
        <v>0</v>
      </c>
      <c r="Y15" s="6" t="s">
        <v>52</v>
      </c>
      <c r="Z15" s="41">
        <v>12</v>
      </c>
      <c r="AA15" s="6">
        <v>1.9800000000000002E-2</v>
      </c>
      <c r="AB15" s="7">
        <f>+Z15*AA15</f>
        <v>0.23760000000000003</v>
      </c>
      <c r="AC15" s="6" t="s">
        <v>52</v>
      </c>
      <c r="AD15" s="41">
        <v>1819</v>
      </c>
      <c r="AE15" s="6">
        <v>1.9800000000000002E-2</v>
      </c>
      <c r="AF15" s="7">
        <f>+AD15*AE15</f>
        <v>36.016200000000005</v>
      </c>
    </row>
    <row r="16" spans="1:57" x14ac:dyDescent="0.25">
      <c r="A16" s="1" t="s">
        <v>12</v>
      </c>
      <c r="B16" s="13" t="s">
        <v>23</v>
      </c>
      <c r="C16" s="14" t="s">
        <v>10</v>
      </c>
      <c r="D16" s="9" t="s">
        <v>51</v>
      </c>
      <c r="E16" s="9"/>
      <c r="F16" s="42"/>
      <c r="G16" s="9">
        <v>5.0099999999999999E-2</v>
      </c>
      <c r="H16" s="10">
        <f>+F16*G16</f>
        <v>0</v>
      </c>
      <c r="I16" s="9" t="s">
        <v>51</v>
      </c>
      <c r="J16" s="42"/>
      <c r="K16" s="9">
        <v>5.0099999999999999E-2</v>
      </c>
      <c r="L16" s="10">
        <f>+J16*K16</f>
        <v>0</v>
      </c>
      <c r="M16" s="9" t="s">
        <v>51</v>
      </c>
      <c r="N16" s="42"/>
      <c r="O16" s="9">
        <v>5.0099999999999999E-2</v>
      </c>
      <c r="P16" s="10">
        <f>+N16*O16</f>
        <v>0</v>
      </c>
      <c r="Q16" s="9" t="s">
        <v>51</v>
      </c>
      <c r="R16" s="42"/>
      <c r="S16" s="9">
        <v>5.0099999999999999E-2</v>
      </c>
      <c r="T16" s="10">
        <f>+R16*S16</f>
        <v>0</v>
      </c>
      <c r="U16" s="9" t="s">
        <v>51</v>
      </c>
      <c r="V16" s="42"/>
      <c r="W16" s="9">
        <v>5.0099999999999999E-2</v>
      </c>
      <c r="X16" s="10">
        <f>+V16*W16</f>
        <v>0</v>
      </c>
      <c r="Y16" s="9" t="s">
        <v>51</v>
      </c>
      <c r="Z16" s="42">
        <v>10</v>
      </c>
      <c r="AA16" s="9">
        <v>5.0099999999999999E-2</v>
      </c>
      <c r="AB16" s="10">
        <f>+Z16*AA16</f>
        <v>0.501</v>
      </c>
      <c r="AC16" s="9" t="s">
        <v>51</v>
      </c>
      <c r="AD16" s="42">
        <v>1208</v>
      </c>
      <c r="AE16" s="9">
        <v>5.0099999999999999E-2</v>
      </c>
      <c r="AF16" s="10">
        <f>+AD16*AE16</f>
        <v>60.520800000000001</v>
      </c>
    </row>
    <row r="17" spans="1:57" x14ac:dyDescent="0.25">
      <c r="B17" s="15" t="s">
        <v>16</v>
      </c>
      <c r="C17" s="16" t="s">
        <v>15</v>
      </c>
      <c r="D17" s="6" t="s">
        <v>52</v>
      </c>
      <c r="E17" s="6"/>
      <c r="F17" s="41">
        <v>127</v>
      </c>
      <c r="G17" s="6">
        <v>1.9800000000000002E-2</v>
      </c>
      <c r="H17" s="7">
        <f>+F17*G17</f>
        <v>2.5146000000000002</v>
      </c>
      <c r="I17" s="6" t="s">
        <v>52</v>
      </c>
      <c r="J17" s="41">
        <v>660</v>
      </c>
      <c r="K17" s="6">
        <v>1.9800000000000002E-2</v>
      </c>
      <c r="L17" s="7">
        <f>+J17*K17</f>
        <v>13.068000000000001</v>
      </c>
      <c r="M17" s="6" t="s">
        <v>52</v>
      </c>
      <c r="N17" s="41">
        <v>533</v>
      </c>
      <c r="O17" s="6">
        <v>1.9800000000000002E-2</v>
      </c>
      <c r="P17" s="7">
        <f>+N17*O17</f>
        <v>10.553400000000002</v>
      </c>
      <c r="Q17" s="6" t="s">
        <v>52</v>
      </c>
      <c r="R17" s="41">
        <v>541</v>
      </c>
      <c r="S17" s="6">
        <v>1.9800000000000002E-2</v>
      </c>
      <c r="T17" s="7">
        <f>+R17*S17</f>
        <v>10.7118</v>
      </c>
      <c r="U17" s="6" t="s">
        <v>52</v>
      </c>
      <c r="V17" s="41">
        <v>607</v>
      </c>
      <c r="W17" s="6">
        <v>1.9800000000000002E-2</v>
      </c>
      <c r="X17" s="7">
        <f>+V17*W17</f>
        <v>12.018600000000001</v>
      </c>
      <c r="Y17" s="6" t="s">
        <v>52</v>
      </c>
      <c r="Z17" s="41">
        <v>586</v>
      </c>
      <c r="AA17" s="6">
        <v>1.9800000000000002E-2</v>
      </c>
      <c r="AB17" s="7">
        <f>+Z17*AA17</f>
        <v>11.6028</v>
      </c>
      <c r="AC17" s="6" t="s">
        <v>52</v>
      </c>
      <c r="AD17" s="41">
        <v>521</v>
      </c>
      <c r="AE17" s="6">
        <v>1.9800000000000002E-2</v>
      </c>
      <c r="AF17" s="7">
        <f>+AD17*AE17</f>
        <v>10.315800000000001</v>
      </c>
    </row>
    <row r="18" spans="1:57" x14ac:dyDescent="0.25">
      <c r="B18" s="17" t="s">
        <v>16</v>
      </c>
      <c r="C18" s="18" t="s">
        <v>15</v>
      </c>
      <c r="D18" s="9" t="s">
        <v>51</v>
      </c>
      <c r="E18" s="9"/>
      <c r="F18" s="42">
        <v>24</v>
      </c>
      <c r="G18" s="9">
        <v>5.0099999999999999E-2</v>
      </c>
      <c r="H18" s="10">
        <f t="shared" ref="H18" si="14">+F18*G18</f>
        <v>1.2023999999999999</v>
      </c>
      <c r="I18" s="9" t="s">
        <v>51</v>
      </c>
      <c r="J18" s="42">
        <v>86</v>
      </c>
      <c r="K18" s="9">
        <v>5.0099999999999999E-2</v>
      </c>
      <c r="L18" s="10">
        <f t="shared" ref="L18" si="15">+J18*K18</f>
        <v>4.3086000000000002</v>
      </c>
      <c r="M18" s="9" t="s">
        <v>51</v>
      </c>
      <c r="N18" s="42">
        <v>23</v>
      </c>
      <c r="O18" s="9">
        <v>5.0099999999999999E-2</v>
      </c>
      <c r="P18" s="10">
        <f t="shared" ref="P18" si="16">+N18*O18</f>
        <v>1.1522999999999999</v>
      </c>
      <c r="Q18" s="9" t="s">
        <v>51</v>
      </c>
      <c r="R18" s="42">
        <v>63</v>
      </c>
      <c r="S18" s="9">
        <v>5.0099999999999999E-2</v>
      </c>
      <c r="T18" s="10">
        <f t="shared" ref="T18" si="17">+R18*S18</f>
        <v>3.1562999999999999</v>
      </c>
      <c r="U18" s="9" t="s">
        <v>51</v>
      </c>
      <c r="V18" s="42">
        <v>204</v>
      </c>
      <c r="W18" s="9">
        <v>5.0099999999999999E-2</v>
      </c>
      <c r="X18" s="10">
        <f t="shared" ref="X18" si="18">+V18*W18</f>
        <v>10.2204</v>
      </c>
      <c r="Y18" s="9" t="s">
        <v>51</v>
      </c>
      <c r="Z18" s="42">
        <v>132</v>
      </c>
      <c r="AA18" s="9">
        <v>5.0099999999999999E-2</v>
      </c>
      <c r="AB18" s="10">
        <f t="shared" ref="AB18:AB26" si="19">+Z18*AA18</f>
        <v>6.6132</v>
      </c>
      <c r="AC18" s="9" t="s">
        <v>51</v>
      </c>
      <c r="AD18" s="42">
        <v>50</v>
      </c>
      <c r="AE18" s="9">
        <v>5.0099999999999999E-2</v>
      </c>
      <c r="AF18" s="10">
        <f t="shared" ref="AF18:AF26" si="20">+AD18*AE18</f>
        <v>2.5049999999999999</v>
      </c>
    </row>
    <row r="19" spans="1:57" x14ac:dyDescent="0.25">
      <c r="B19" s="15" t="s">
        <v>3</v>
      </c>
      <c r="C19" s="16" t="s">
        <v>2</v>
      </c>
      <c r="D19" s="6" t="s">
        <v>52</v>
      </c>
      <c r="E19" s="6"/>
      <c r="F19" s="41"/>
      <c r="G19" s="6">
        <v>1.9800000000000002E-2</v>
      </c>
      <c r="H19" s="7">
        <f t="shared" ref="H19:H24" si="21">+F19*G19</f>
        <v>0</v>
      </c>
      <c r="I19" s="6" t="s">
        <v>52</v>
      </c>
      <c r="J19" s="41">
        <v>384</v>
      </c>
      <c r="K19" s="6">
        <v>1.9800000000000002E-2</v>
      </c>
      <c r="L19" s="7">
        <f t="shared" ref="L19:L24" si="22">+J19*K19</f>
        <v>7.6032000000000011</v>
      </c>
      <c r="M19" s="6" t="s">
        <v>52</v>
      </c>
      <c r="N19" s="41">
        <v>70</v>
      </c>
      <c r="O19" s="6">
        <v>1.9800000000000002E-2</v>
      </c>
      <c r="P19" s="7">
        <f t="shared" ref="P19:P24" si="23">+N19*O19</f>
        <v>1.3860000000000001</v>
      </c>
      <c r="Q19" s="6" t="s">
        <v>52</v>
      </c>
      <c r="R19" s="41">
        <v>142</v>
      </c>
      <c r="S19" s="6">
        <v>1.9800000000000002E-2</v>
      </c>
      <c r="T19" s="7">
        <f t="shared" ref="T19:T24" si="24">+R19*S19</f>
        <v>2.8116000000000003</v>
      </c>
      <c r="U19" s="6" t="s">
        <v>52</v>
      </c>
      <c r="V19" s="41">
        <v>143</v>
      </c>
      <c r="W19" s="6">
        <v>1.9800000000000002E-2</v>
      </c>
      <c r="X19" s="7">
        <f t="shared" ref="X19:X24" si="25">+V19*W19</f>
        <v>2.8314000000000004</v>
      </c>
      <c r="Y19" s="6" t="s">
        <v>52</v>
      </c>
      <c r="Z19" s="41">
        <v>101</v>
      </c>
      <c r="AA19" s="6">
        <v>1.9800000000000002E-2</v>
      </c>
      <c r="AB19" s="7">
        <f t="shared" si="19"/>
        <v>1.9998000000000002</v>
      </c>
      <c r="AC19" s="6" t="s">
        <v>52</v>
      </c>
      <c r="AD19" s="41">
        <v>154</v>
      </c>
      <c r="AE19" s="6">
        <v>1.9800000000000002E-2</v>
      </c>
      <c r="AF19" s="7">
        <f t="shared" si="20"/>
        <v>3.0492000000000004</v>
      </c>
    </row>
    <row r="20" spans="1:57" x14ac:dyDescent="0.25">
      <c r="B20" s="17" t="s">
        <v>3</v>
      </c>
      <c r="C20" s="18" t="s">
        <v>2</v>
      </c>
      <c r="D20" s="9" t="s">
        <v>51</v>
      </c>
      <c r="E20" s="9"/>
      <c r="F20" s="42">
        <v>40</v>
      </c>
      <c r="G20" s="9">
        <v>5.0099999999999999E-2</v>
      </c>
      <c r="H20" s="10">
        <f t="shared" si="21"/>
        <v>2.004</v>
      </c>
      <c r="I20" s="9" t="s">
        <v>51</v>
      </c>
      <c r="J20" s="42">
        <v>394</v>
      </c>
      <c r="K20" s="9">
        <v>5.0099999999999999E-2</v>
      </c>
      <c r="L20" s="10">
        <f t="shared" si="22"/>
        <v>19.7394</v>
      </c>
      <c r="M20" s="9" t="s">
        <v>51</v>
      </c>
      <c r="N20" s="42">
        <v>281</v>
      </c>
      <c r="O20" s="9">
        <v>5.0099999999999999E-2</v>
      </c>
      <c r="P20" s="10">
        <f t="shared" si="23"/>
        <v>14.078099999999999</v>
      </c>
      <c r="Q20" s="9" t="s">
        <v>51</v>
      </c>
      <c r="R20" s="42">
        <v>195</v>
      </c>
      <c r="S20" s="9">
        <v>5.0099999999999999E-2</v>
      </c>
      <c r="T20" s="10">
        <f t="shared" si="24"/>
        <v>9.769499999999999</v>
      </c>
      <c r="U20" s="9" t="s">
        <v>51</v>
      </c>
      <c r="V20" s="42">
        <v>123</v>
      </c>
      <c r="W20" s="9">
        <v>5.0099999999999999E-2</v>
      </c>
      <c r="X20" s="10">
        <f t="shared" si="25"/>
        <v>6.1623000000000001</v>
      </c>
      <c r="Y20" s="9" t="s">
        <v>51</v>
      </c>
      <c r="Z20" s="42">
        <v>84</v>
      </c>
      <c r="AA20" s="9">
        <v>5.0099999999999999E-2</v>
      </c>
      <c r="AB20" s="10">
        <f t="shared" si="19"/>
        <v>4.2084000000000001</v>
      </c>
      <c r="AC20" s="9" t="s">
        <v>51</v>
      </c>
      <c r="AD20" s="42">
        <v>214</v>
      </c>
      <c r="AE20" s="9">
        <v>5.0099999999999999E-2</v>
      </c>
      <c r="AF20" s="10">
        <f t="shared" si="20"/>
        <v>10.721399999999999</v>
      </c>
    </row>
    <row r="21" spans="1:57" x14ac:dyDescent="0.25">
      <c r="B21" s="15" t="s">
        <v>32</v>
      </c>
      <c r="C21" s="16" t="s">
        <v>31</v>
      </c>
      <c r="D21" s="6" t="s">
        <v>52</v>
      </c>
      <c r="E21" s="6"/>
      <c r="F21" s="41">
        <v>2077</v>
      </c>
      <c r="G21" s="6">
        <v>1.9800000000000002E-2</v>
      </c>
      <c r="H21" s="7">
        <f t="shared" si="21"/>
        <v>41.124600000000001</v>
      </c>
      <c r="I21" s="6" t="s">
        <v>52</v>
      </c>
      <c r="J21" s="41">
        <v>1547</v>
      </c>
      <c r="K21" s="6">
        <v>1.9800000000000002E-2</v>
      </c>
      <c r="L21" s="7">
        <f t="shared" si="22"/>
        <v>30.630600000000001</v>
      </c>
      <c r="M21" s="6" t="s">
        <v>52</v>
      </c>
      <c r="N21" s="41">
        <v>1326</v>
      </c>
      <c r="O21" s="6">
        <v>1.9800000000000002E-2</v>
      </c>
      <c r="P21" s="7">
        <f t="shared" si="23"/>
        <v>26.254800000000003</v>
      </c>
      <c r="Q21" s="6" t="s">
        <v>52</v>
      </c>
      <c r="R21" s="41">
        <v>789</v>
      </c>
      <c r="S21" s="6">
        <v>1.9800000000000002E-2</v>
      </c>
      <c r="T21" s="7">
        <f t="shared" si="24"/>
        <v>15.622200000000001</v>
      </c>
      <c r="U21" s="6" t="s">
        <v>52</v>
      </c>
      <c r="V21" s="41">
        <v>1131</v>
      </c>
      <c r="W21" s="6">
        <v>1.9800000000000002E-2</v>
      </c>
      <c r="X21" s="7">
        <f t="shared" si="25"/>
        <v>22.393800000000002</v>
      </c>
      <c r="Y21" s="6" t="s">
        <v>52</v>
      </c>
      <c r="Z21" s="41">
        <v>800</v>
      </c>
      <c r="AA21" s="6">
        <v>1.9800000000000002E-2</v>
      </c>
      <c r="AB21" s="7">
        <f t="shared" si="19"/>
        <v>15.840000000000002</v>
      </c>
      <c r="AC21" s="6" t="s">
        <v>52</v>
      </c>
      <c r="AD21" s="41">
        <v>810</v>
      </c>
      <c r="AE21" s="6">
        <v>1.9800000000000002E-2</v>
      </c>
      <c r="AF21" s="7">
        <f t="shared" si="20"/>
        <v>16.038</v>
      </c>
    </row>
    <row r="22" spans="1:57" x14ac:dyDescent="0.25">
      <c r="B22" s="17" t="s">
        <v>32</v>
      </c>
      <c r="C22" s="18" t="s">
        <v>31</v>
      </c>
      <c r="D22" s="9" t="s">
        <v>51</v>
      </c>
      <c r="E22" s="9"/>
      <c r="F22" s="42"/>
      <c r="G22" s="9">
        <v>5.0099999999999999E-2</v>
      </c>
      <c r="H22" s="10">
        <f t="shared" si="21"/>
        <v>0</v>
      </c>
      <c r="I22" s="9" t="s">
        <v>51</v>
      </c>
      <c r="J22" s="42"/>
      <c r="K22" s="9">
        <v>5.0099999999999999E-2</v>
      </c>
      <c r="L22" s="10">
        <f t="shared" si="22"/>
        <v>0</v>
      </c>
      <c r="M22" s="9" t="s">
        <v>51</v>
      </c>
      <c r="N22" s="42"/>
      <c r="O22" s="9">
        <v>5.0099999999999999E-2</v>
      </c>
      <c r="P22" s="10">
        <f t="shared" si="23"/>
        <v>0</v>
      </c>
      <c r="Q22" s="9" t="s">
        <v>51</v>
      </c>
      <c r="R22" s="42"/>
      <c r="S22" s="9">
        <v>5.0099999999999999E-2</v>
      </c>
      <c r="T22" s="10">
        <f t="shared" si="24"/>
        <v>0</v>
      </c>
      <c r="U22" s="9" t="s">
        <v>51</v>
      </c>
      <c r="V22" s="42">
        <v>2</v>
      </c>
      <c r="W22" s="9">
        <v>5.0099999999999999E-2</v>
      </c>
      <c r="X22" s="10">
        <f t="shared" si="25"/>
        <v>0.1002</v>
      </c>
      <c r="Y22" s="9" t="s">
        <v>51</v>
      </c>
      <c r="Z22" s="42"/>
      <c r="AA22" s="9">
        <v>5.0099999999999999E-2</v>
      </c>
      <c r="AB22" s="10">
        <f t="shared" si="19"/>
        <v>0</v>
      </c>
      <c r="AC22" s="9" t="s">
        <v>51</v>
      </c>
      <c r="AD22" s="42"/>
      <c r="AE22" s="9">
        <v>5.0099999999999999E-2</v>
      </c>
      <c r="AF22" s="10">
        <f t="shared" si="20"/>
        <v>0</v>
      </c>
    </row>
    <row r="23" spans="1:57" x14ac:dyDescent="0.25">
      <c r="A23" s="1" t="s">
        <v>12</v>
      </c>
      <c r="B23" s="11" t="s">
        <v>11</v>
      </c>
      <c r="C23" s="12" t="s">
        <v>10</v>
      </c>
      <c r="D23" s="6" t="s">
        <v>52</v>
      </c>
      <c r="E23" s="6"/>
      <c r="F23" s="41"/>
      <c r="G23" s="6">
        <v>1.9800000000000002E-2</v>
      </c>
      <c r="H23" s="7">
        <f t="shared" si="21"/>
        <v>0</v>
      </c>
      <c r="I23" s="6" t="s">
        <v>52</v>
      </c>
      <c r="J23" s="41"/>
      <c r="K23" s="6">
        <v>1.9800000000000002E-2</v>
      </c>
      <c r="L23" s="7">
        <f t="shared" si="22"/>
        <v>0</v>
      </c>
      <c r="M23" s="6" t="s">
        <v>52</v>
      </c>
      <c r="N23" s="41"/>
      <c r="O23" s="6">
        <v>1.9800000000000002E-2</v>
      </c>
      <c r="P23" s="7">
        <f t="shared" si="23"/>
        <v>0</v>
      </c>
      <c r="Q23" s="6" t="s">
        <v>52</v>
      </c>
      <c r="R23" s="41"/>
      <c r="S23" s="6">
        <v>1.9800000000000002E-2</v>
      </c>
      <c r="T23" s="7">
        <f t="shared" si="24"/>
        <v>0</v>
      </c>
      <c r="U23" s="6" t="s">
        <v>52</v>
      </c>
      <c r="V23" s="41"/>
      <c r="W23" s="6">
        <v>1.9800000000000002E-2</v>
      </c>
      <c r="X23" s="7">
        <f t="shared" si="25"/>
        <v>0</v>
      </c>
      <c r="Y23" s="6" t="s">
        <v>52</v>
      </c>
      <c r="Z23" s="41"/>
      <c r="AA23" s="6">
        <v>1.9800000000000002E-2</v>
      </c>
      <c r="AB23" s="7">
        <f t="shared" si="19"/>
        <v>0</v>
      </c>
      <c r="AC23" s="6" t="s">
        <v>52</v>
      </c>
      <c r="AD23" s="41"/>
      <c r="AE23" s="6">
        <v>1.9800000000000002E-2</v>
      </c>
      <c r="AF23" s="7">
        <f t="shared" si="20"/>
        <v>0</v>
      </c>
    </row>
    <row r="24" spans="1:57" x14ac:dyDescent="0.25">
      <c r="A24" s="1" t="s">
        <v>12</v>
      </c>
      <c r="B24" s="13" t="s">
        <v>11</v>
      </c>
      <c r="C24" s="14" t="s">
        <v>10</v>
      </c>
      <c r="D24" s="9" t="s">
        <v>51</v>
      </c>
      <c r="E24" s="9"/>
      <c r="F24" s="42"/>
      <c r="G24" s="9">
        <v>5.0099999999999999E-2</v>
      </c>
      <c r="H24" s="10">
        <f t="shared" si="21"/>
        <v>0</v>
      </c>
      <c r="I24" s="9" t="s">
        <v>51</v>
      </c>
      <c r="J24" s="42"/>
      <c r="K24" s="9">
        <v>5.0099999999999999E-2</v>
      </c>
      <c r="L24" s="10">
        <f t="shared" si="22"/>
        <v>0</v>
      </c>
      <c r="M24" s="9" t="s">
        <v>51</v>
      </c>
      <c r="N24" s="42"/>
      <c r="O24" s="9">
        <v>5.0099999999999999E-2</v>
      </c>
      <c r="P24" s="10">
        <f t="shared" si="23"/>
        <v>0</v>
      </c>
      <c r="Q24" s="9" t="s">
        <v>51</v>
      </c>
      <c r="R24" s="42"/>
      <c r="S24" s="9">
        <v>5.0099999999999999E-2</v>
      </c>
      <c r="T24" s="10">
        <f t="shared" si="24"/>
        <v>0</v>
      </c>
      <c r="U24" s="9" t="s">
        <v>51</v>
      </c>
      <c r="V24" s="42"/>
      <c r="W24" s="9">
        <v>5.0099999999999999E-2</v>
      </c>
      <c r="X24" s="10">
        <f t="shared" si="25"/>
        <v>0</v>
      </c>
      <c r="Y24" s="9" t="s">
        <v>51</v>
      </c>
      <c r="Z24" s="42"/>
      <c r="AA24" s="9">
        <v>5.0099999999999999E-2</v>
      </c>
      <c r="AB24" s="10">
        <f t="shared" si="19"/>
        <v>0</v>
      </c>
      <c r="AC24" s="9" t="s">
        <v>51</v>
      </c>
      <c r="AD24" s="42"/>
      <c r="AE24" s="9">
        <v>5.0099999999999999E-2</v>
      </c>
      <c r="AF24" s="10">
        <f t="shared" si="20"/>
        <v>0</v>
      </c>
    </row>
    <row r="25" spans="1:57" x14ac:dyDescent="0.25">
      <c r="B25" s="15" t="s">
        <v>14</v>
      </c>
      <c r="C25" s="16" t="s">
        <v>13</v>
      </c>
      <c r="D25" s="6" t="s">
        <v>52</v>
      </c>
      <c r="E25" s="6"/>
      <c r="F25" s="41">
        <v>42</v>
      </c>
      <c r="G25" s="6">
        <v>1.9800000000000002E-2</v>
      </c>
      <c r="H25" s="7">
        <f t="shared" ref="H25:H26" si="26">+F25*G25</f>
        <v>0.83160000000000012</v>
      </c>
      <c r="I25" s="6" t="s">
        <v>52</v>
      </c>
      <c r="J25" s="41">
        <v>80</v>
      </c>
      <c r="K25" s="6">
        <v>1.9800000000000002E-2</v>
      </c>
      <c r="L25" s="7">
        <f t="shared" ref="L25:L26" si="27">+J25*K25</f>
        <v>1.5840000000000001</v>
      </c>
      <c r="M25" s="6" t="s">
        <v>52</v>
      </c>
      <c r="N25" s="41">
        <v>127</v>
      </c>
      <c r="O25" s="6">
        <v>1.9800000000000002E-2</v>
      </c>
      <c r="P25" s="7">
        <f t="shared" ref="P25:P26" si="28">+N25*O25</f>
        <v>2.5146000000000002</v>
      </c>
      <c r="Q25" s="6" t="s">
        <v>52</v>
      </c>
      <c r="R25" s="41">
        <v>68</v>
      </c>
      <c r="S25" s="6">
        <v>1.9800000000000002E-2</v>
      </c>
      <c r="T25" s="7">
        <f t="shared" ref="T25:T26" si="29">+R25*S25</f>
        <v>1.3464</v>
      </c>
      <c r="U25" s="6" t="s">
        <v>52</v>
      </c>
      <c r="V25" s="41">
        <v>105</v>
      </c>
      <c r="W25" s="6">
        <v>1.9800000000000002E-2</v>
      </c>
      <c r="X25" s="7">
        <f t="shared" ref="X25:X26" si="30">+V25*W25</f>
        <v>2.0790000000000002</v>
      </c>
      <c r="Y25" s="6" t="s">
        <v>52</v>
      </c>
      <c r="Z25" s="41">
        <v>91</v>
      </c>
      <c r="AA25" s="6">
        <v>1.9800000000000002E-2</v>
      </c>
      <c r="AB25" s="7">
        <f t="shared" si="19"/>
        <v>1.8018000000000001</v>
      </c>
      <c r="AC25" s="6" t="s">
        <v>52</v>
      </c>
      <c r="AD25" s="41">
        <v>123</v>
      </c>
      <c r="AE25" s="6">
        <v>1.9800000000000002E-2</v>
      </c>
      <c r="AF25" s="7">
        <f t="shared" si="20"/>
        <v>2.4354</v>
      </c>
    </row>
    <row r="26" spans="1:57" x14ac:dyDescent="0.25">
      <c r="B26" s="17" t="s">
        <v>14</v>
      </c>
      <c r="C26" s="18" t="s">
        <v>13</v>
      </c>
      <c r="D26" s="9" t="s">
        <v>51</v>
      </c>
      <c r="E26" s="9"/>
      <c r="F26" s="42">
        <v>21</v>
      </c>
      <c r="G26" s="9">
        <v>5.0099999999999999E-2</v>
      </c>
      <c r="H26" s="10">
        <f t="shared" si="26"/>
        <v>1.0521</v>
      </c>
      <c r="I26" s="9" t="s">
        <v>51</v>
      </c>
      <c r="J26" s="42">
        <v>38</v>
      </c>
      <c r="K26" s="9">
        <v>5.0099999999999999E-2</v>
      </c>
      <c r="L26" s="10">
        <f t="shared" si="27"/>
        <v>1.9037999999999999</v>
      </c>
      <c r="M26" s="9" t="s">
        <v>51</v>
      </c>
      <c r="N26" s="42">
        <v>60</v>
      </c>
      <c r="O26" s="9">
        <v>5.0099999999999999E-2</v>
      </c>
      <c r="P26" s="10">
        <f t="shared" si="28"/>
        <v>3.0059999999999998</v>
      </c>
      <c r="Q26" s="9" t="s">
        <v>51</v>
      </c>
      <c r="R26" s="42">
        <v>31</v>
      </c>
      <c r="S26" s="9">
        <v>5.0099999999999999E-2</v>
      </c>
      <c r="T26" s="10">
        <f t="shared" si="29"/>
        <v>1.5530999999999999</v>
      </c>
      <c r="U26" s="9" t="s">
        <v>51</v>
      </c>
      <c r="V26" s="42">
        <v>34</v>
      </c>
      <c r="W26" s="9">
        <v>5.0099999999999999E-2</v>
      </c>
      <c r="X26" s="10">
        <f t="shared" si="30"/>
        <v>1.7034</v>
      </c>
      <c r="Y26" s="9" t="s">
        <v>51</v>
      </c>
      <c r="Z26" s="42">
        <v>18</v>
      </c>
      <c r="AA26" s="9">
        <v>5.0099999999999999E-2</v>
      </c>
      <c r="AB26" s="10">
        <f t="shared" si="19"/>
        <v>0.90179999999999993</v>
      </c>
      <c r="AC26" s="9" t="s">
        <v>51</v>
      </c>
      <c r="AD26" s="42">
        <v>35</v>
      </c>
      <c r="AE26" s="9">
        <v>5.0099999999999999E-2</v>
      </c>
      <c r="AF26" s="10">
        <f t="shared" si="20"/>
        <v>1.7535000000000001</v>
      </c>
    </row>
    <row r="27" spans="1:57" x14ac:dyDescent="0.25">
      <c r="B27" s="15" t="s">
        <v>18</v>
      </c>
      <c r="C27" s="16" t="s">
        <v>17</v>
      </c>
      <c r="D27" s="6" t="s">
        <v>52</v>
      </c>
      <c r="E27" s="6"/>
      <c r="F27" s="41"/>
      <c r="G27" s="6">
        <v>1.9800000000000002E-2</v>
      </c>
      <c r="H27" s="7">
        <f>+F27*G27</f>
        <v>0</v>
      </c>
      <c r="I27" s="6" t="s">
        <v>52</v>
      </c>
      <c r="J27" s="41"/>
      <c r="K27" s="6">
        <v>1.9800000000000002E-2</v>
      </c>
      <c r="L27" s="7">
        <f>+J27*K27</f>
        <v>0</v>
      </c>
      <c r="M27" s="6" t="s">
        <v>52</v>
      </c>
      <c r="N27" s="41">
        <v>13</v>
      </c>
      <c r="O27" s="6">
        <v>1.9800000000000002E-2</v>
      </c>
      <c r="P27" s="7">
        <f>+N27*O27</f>
        <v>0.25740000000000002</v>
      </c>
      <c r="Q27" s="6" t="s">
        <v>52</v>
      </c>
      <c r="R27" s="41">
        <v>372</v>
      </c>
      <c r="S27" s="6">
        <v>1.9800000000000002E-2</v>
      </c>
      <c r="T27" s="7">
        <f>+R27*S27</f>
        <v>7.3656000000000006</v>
      </c>
      <c r="U27" s="6" t="s">
        <v>52</v>
      </c>
      <c r="V27" s="41">
        <v>372</v>
      </c>
      <c r="W27" s="6">
        <v>1.9800000000000002E-2</v>
      </c>
      <c r="X27" s="7">
        <f>+V27*W27</f>
        <v>7.3656000000000006</v>
      </c>
      <c r="Y27" s="6" t="s">
        <v>52</v>
      </c>
      <c r="Z27" s="41">
        <v>225</v>
      </c>
      <c r="AA27" s="6">
        <v>1.9800000000000002E-2</v>
      </c>
      <c r="AB27" s="7">
        <f>+Z27*AA27</f>
        <v>4.4550000000000001</v>
      </c>
      <c r="AC27" s="6" t="s">
        <v>52</v>
      </c>
      <c r="AD27" s="41">
        <v>323</v>
      </c>
      <c r="AE27" s="6">
        <v>1.9800000000000002E-2</v>
      </c>
      <c r="AF27" s="7">
        <f>+AD27*AE27</f>
        <v>6.3954000000000004</v>
      </c>
    </row>
    <row r="28" spans="1:57" x14ac:dyDescent="0.25">
      <c r="B28" s="17" t="s">
        <v>18</v>
      </c>
      <c r="C28" s="18" t="s">
        <v>17</v>
      </c>
      <c r="D28" s="9" t="s">
        <v>51</v>
      </c>
      <c r="E28" s="9"/>
      <c r="F28" s="42"/>
      <c r="G28" s="9">
        <v>5.0099999999999999E-2</v>
      </c>
      <c r="H28" s="10">
        <f t="shared" ref="H28" si="31">+F28*G28</f>
        <v>0</v>
      </c>
      <c r="I28" s="9" t="s">
        <v>51</v>
      </c>
      <c r="J28" s="42">
        <v>165</v>
      </c>
      <c r="K28" s="9">
        <v>5.0099999999999999E-2</v>
      </c>
      <c r="L28" s="10">
        <f t="shared" ref="L28" si="32">+J28*K28</f>
        <v>8.2665000000000006</v>
      </c>
      <c r="M28" s="9" t="s">
        <v>51</v>
      </c>
      <c r="N28" s="42">
        <v>232</v>
      </c>
      <c r="O28" s="9">
        <v>5.0099999999999999E-2</v>
      </c>
      <c r="P28" s="10">
        <f t="shared" ref="P28" si="33">+N28*O28</f>
        <v>11.623199999999999</v>
      </c>
      <c r="Q28" s="9" t="s">
        <v>51</v>
      </c>
      <c r="R28" s="42"/>
      <c r="S28" s="9">
        <v>5.0099999999999999E-2</v>
      </c>
      <c r="T28" s="10">
        <f t="shared" ref="T28" si="34">+R28*S28</f>
        <v>0</v>
      </c>
      <c r="U28" s="9" t="s">
        <v>51</v>
      </c>
      <c r="V28" s="42">
        <v>37</v>
      </c>
      <c r="W28" s="9">
        <v>5.0099999999999999E-2</v>
      </c>
      <c r="X28" s="10">
        <f t="shared" ref="X28" si="35">+V28*W28</f>
        <v>1.8536999999999999</v>
      </c>
      <c r="Y28" s="9" t="s">
        <v>51</v>
      </c>
      <c r="Z28" s="42">
        <v>7</v>
      </c>
      <c r="AA28" s="9">
        <v>5.0099999999999999E-2</v>
      </c>
      <c r="AB28" s="10">
        <f t="shared" ref="AB28" si="36">+Z28*AA28</f>
        <v>0.35070000000000001</v>
      </c>
      <c r="AC28" s="9" t="s">
        <v>51</v>
      </c>
      <c r="AD28" s="42">
        <v>25</v>
      </c>
      <c r="AE28" s="9">
        <v>5.0099999999999999E-2</v>
      </c>
      <c r="AF28" s="10">
        <f t="shared" ref="AF28" si="37">+AD28*AE28</f>
        <v>1.2524999999999999</v>
      </c>
    </row>
    <row r="29" spans="1:57" s="54" customFormat="1" x14ac:dyDescent="0.25">
      <c r="A29" s="48"/>
      <c r="B29" s="49" t="s">
        <v>20</v>
      </c>
      <c r="C29" s="50" t="s">
        <v>19</v>
      </c>
      <c r="D29" s="51" t="s">
        <v>52</v>
      </c>
      <c r="E29" s="51"/>
      <c r="F29" s="52">
        <v>1944</v>
      </c>
      <c r="G29" s="51">
        <v>1.9800000000000002E-2</v>
      </c>
      <c r="H29" s="53">
        <f>+F29*G29</f>
        <v>38.491200000000006</v>
      </c>
      <c r="I29" s="51" t="s">
        <v>52</v>
      </c>
      <c r="J29" s="52">
        <v>926</v>
      </c>
      <c r="K29" s="51">
        <v>1.9800000000000002E-2</v>
      </c>
      <c r="L29" s="53">
        <f>+J29*K29</f>
        <v>18.334800000000001</v>
      </c>
      <c r="M29" s="51" t="s">
        <v>52</v>
      </c>
      <c r="N29" s="52">
        <v>1253</v>
      </c>
      <c r="O29" s="51">
        <v>1.9800000000000002E-2</v>
      </c>
      <c r="P29" s="53">
        <f>+N29*O29</f>
        <v>24.809400000000004</v>
      </c>
      <c r="Q29" s="51" t="s">
        <v>52</v>
      </c>
      <c r="R29" s="52">
        <v>1527</v>
      </c>
      <c r="S29" s="51">
        <v>1.9800000000000002E-2</v>
      </c>
      <c r="T29" s="53">
        <f>+R29*S29</f>
        <v>30.234600000000004</v>
      </c>
      <c r="U29" s="51" t="s">
        <v>52</v>
      </c>
      <c r="V29" s="52">
        <v>1166</v>
      </c>
      <c r="W29" s="51">
        <v>1.9800000000000002E-2</v>
      </c>
      <c r="X29" s="53">
        <f>+V29*W29</f>
        <v>23.0868</v>
      </c>
      <c r="Y29" s="51" t="s">
        <v>52</v>
      </c>
      <c r="Z29" s="52">
        <v>1418</v>
      </c>
      <c r="AA29" s="51">
        <v>1.9800000000000002E-2</v>
      </c>
      <c r="AB29" s="53">
        <f>+Z29*AA29</f>
        <v>28.076400000000003</v>
      </c>
      <c r="AC29" s="51" t="s">
        <v>52</v>
      </c>
      <c r="AD29" s="52">
        <v>2093</v>
      </c>
      <c r="AE29" s="51">
        <v>1.9800000000000002E-2</v>
      </c>
      <c r="AF29" s="53">
        <f>+AD29*AE29</f>
        <v>41.441400000000002</v>
      </c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</row>
    <row r="30" spans="1:57" s="54" customFormat="1" x14ac:dyDescent="0.25">
      <c r="A30" s="48"/>
      <c r="B30" s="55" t="s">
        <v>20</v>
      </c>
      <c r="C30" s="56" t="s">
        <v>19</v>
      </c>
      <c r="D30" s="57" t="s">
        <v>51</v>
      </c>
      <c r="E30" s="57"/>
      <c r="F30" s="58">
        <v>784</v>
      </c>
      <c r="G30" s="57">
        <v>5.0099999999999999E-2</v>
      </c>
      <c r="H30" s="59">
        <f t="shared" ref="H30" si="38">+F30*G30</f>
        <v>39.278399999999998</v>
      </c>
      <c r="I30" s="57" t="s">
        <v>51</v>
      </c>
      <c r="J30" s="58">
        <v>27</v>
      </c>
      <c r="K30" s="57">
        <v>5.0099999999999999E-2</v>
      </c>
      <c r="L30" s="59">
        <f t="shared" ref="L30" si="39">+J30*K30</f>
        <v>1.3527</v>
      </c>
      <c r="M30" s="57" t="s">
        <v>51</v>
      </c>
      <c r="N30" s="58">
        <v>31</v>
      </c>
      <c r="O30" s="57">
        <v>5.0099999999999999E-2</v>
      </c>
      <c r="P30" s="59">
        <f t="shared" ref="P30" si="40">+N30*O30</f>
        <v>1.5530999999999999</v>
      </c>
      <c r="Q30" s="57" t="s">
        <v>51</v>
      </c>
      <c r="R30" s="58">
        <v>134</v>
      </c>
      <c r="S30" s="57">
        <v>5.0099999999999999E-2</v>
      </c>
      <c r="T30" s="59">
        <f t="shared" ref="T30" si="41">+R30*S30</f>
        <v>6.7134</v>
      </c>
      <c r="U30" s="57" t="s">
        <v>51</v>
      </c>
      <c r="V30" s="58">
        <v>81</v>
      </c>
      <c r="W30" s="57">
        <v>5.0099999999999999E-2</v>
      </c>
      <c r="X30" s="59">
        <f t="shared" ref="X30" si="42">+V30*W30</f>
        <v>4.0580999999999996</v>
      </c>
      <c r="Y30" s="57" t="s">
        <v>51</v>
      </c>
      <c r="Z30" s="58">
        <v>56</v>
      </c>
      <c r="AA30" s="57">
        <v>5.0099999999999999E-2</v>
      </c>
      <c r="AB30" s="59">
        <f t="shared" ref="AB30" si="43">+Z30*AA30</f>
        <v>2.8056000000000001</v>
      </c>
      <c r="AC30" s="57" t="s">
        <v>51</v>
      </c>
      <c r="AD30" s="58">
        <v>63</v>
      </c>
      <c r="AE30" s="57">
        <v>5.0099999999999999E-2</v>
      </c>
      <c r="AF30" s="59">
        <f t="shared" ref="AF30" si="44">+AD30*AE30</f>
        <v>3.1562999999999999</v>
      </c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</row>
    <row r="31" spans="1:57" x14ac:dyDescent="0.25">
      <c r="B31" s="15" t="s">
        <v>27</v>
      </c>
      <c r="C31" s="16" t="s">
        <v>26</v>
      </c>
      <c r="D31" s="6" t="s">
        <v>52</v>
      </c>
      <c r="E31" s="6"/>
      <c r="F31" s="41">
        <v>1186</v>
      </c>
      <c r="G31" s="6">
        <v>1.9800000000000002E-2</v>
      </c>
      <c r="H31" s="7">
        <f>+F31*G31</f>
        <v>23.482800000000001</v>
      </c>
      <c r="I31" s="6" t="s">
        <v>52</v>
      </c>
      <c r="J31" s="41">
        <v>1165</v>
      </c>
      <c r="K31" s="6">
        <v>1.9800000000000002E-2</v>
      </c>
      <c r="L31" s="7">
        <f>+J31*K31</f>
        <v>23.067</v>
      </c>
      <c r="M31" s="6" t="s">
        <v>52</v>
      </c>
      <c r="N31" s="41">
        <v>797</v>
      </c>
      <c r="O31" s="6">
        <v>1.9800000000000002E-2</v>
      </c>
      <c r="P31" s="7">
        <f>+N31*O31</f>
        <v>15.780600000000002</v>
      </c>
      <c r="Q31" s="6" t="s">
        <v>52</v>
      </c>
      <c r="R31" s="41">
        <v>1074</v>
      </c>
      <c r="S31" s="6">
        <v>1.9800000000000002E-2</v>
      </c>
      <c r="T31" s="7">
        <f>+R31*S31</f>
        <v>21.2652</v>
      </c>
      <c r="U31" s="6" t="s">
        <v>52</v>
      </c>
      <c r="V31" s="41">
        <v>1074</v>
      </c>
      <c r="W31" s="6">
        <v>1.9800000000000002E-2</v>
      </c>
      <c r="X31" s="7">
        <f>+V31*W31</f>
        <v>21.2652</v>
      </c>
      <c r="Y31" s="6" t="s">
        <v>52</v>
      </c>
      <c r="Z31" s="41">
        <v>1257</v>
      </c>
      <c r="AA31" s="6">
        <v>1.9800000000000002E-2</v>
      </c>
      <c r="AB31" s="7">
        <f>+Z31*AA31</f>
        <v>24.8886</v>
      </c>
      <c r="AC31" s="6" t="s">
        <v>52</v>
      </c>
      <c r="AD31" s="41">
        <v>1167</v>
      </c>
      <c r="AE31" s="6">
        <v>1.9800000000000002E-2</v>
      </c>
      <c r="AF31" s="7">
        <f>+AD31*AE31</f>
        <v>23.1066</v>
      </c>
    </row>
    <row r="32" spans="1:57" x14ac:dyDescent="0.25">
      <c r="B32" s="17" t="s">
        <v>27</v>
      </c>
      <c r="C32" s="18" t="s">
        <v>26</v>
      </c>
      <c r="D32" s="9" t="s">
        <v>51</v>
      </c>
      <c r="E32" s="9"/>
      <c r="F32" s="42">
        <v>193</v>
      </c>
      <c r="G32" s="9">
        <v>5.0099999999999999E-2</v>
      </c>
      <c r="H32" s="10">
        <f>+F32*G32</f>
        <v>9.6692999999999998</v>
      </c>
      <c r="I32" s="9" t="s">
        <v>51</v>
      </c>
      <c r="J32" s="42">
        <v>335</v>
      </c>
      <c r="K32" s="9">
        <v>5.0099999999999999E-2</v>
      </c>
      <c r="L32" s="10">
        <f>+J32*K32</f>
        <v>16.7835</v>
      </c>
      <c r="M32" s="9" t="s">
        <v>51</v>
      </c>
      <c r="N32" s="42">
        <v>312</v>
      </c>
      <c r="O32" s="9">
        <v>5.0099999999999999E-2</v>
      </c>
      <c r="P32" s="10">
        <f>+N32*O32</f>
        <v>15.6312</v>
      </c>
      <c r="Q32" s="9" t="s">
        <v>51</v>
      </c>
      <c r="R32" s="42">
        <v>211</v>
      </c>
      <c r="S32" s="9">
        <v>5.0099999999999999E-2</v>
      </c>
      <c r="T32" s="10">
        <f>+R32*S32</f>
        <v>10.571099999999999</v>
      </c>
      <c r="U32" s="9" t="s">
        <v>51</v>
      </c>
      <c r="V32" s="42">
        <v>414</v>
      </c>
      <c r="W32" s="9">
        <v>5.0099999999999999E-2</v>
      </c>
      <c r="X32" s="10">
        <f>+V32*W32</f>
        <v>20.741399999999999</v>
      </c>
      <c r="Y32" s="9" t="s">
        <v>51</v>
      </c>
      <c r="Z32" s="42">
        <v>318</v>
      </c>
      <c r="AA32" s="9">
        <v>5.0099999999999999E-2</v>
      </c>
      <c r="AB32" s="10">
        <f>+Z32*AA32</f>
        <v>15.931799999999999</v>
      </c>
      <c r="AC32" s="9" t="s">
        <v>51</v>
      </c>
      <c r="AD32" s="42">
        <v>516</v>
      </c>
      <c r="AE32" s="9">
        <v>5.0099999999999999E-2</v>
      </c>
      <c r="AF32" s="10">
        <f>+AD32*AE32</f>
        <v>25.851599999999998</v>
      </c>
    </row>
    <row r="33" spans="1:32" x14ac:dyDescent="0.25">
      <c r="B33" s="15" t="s">
        <v>7</v>
      </c>
      <c r="C33" s="16" t="s">
        <v>6</v>
      </c>
      <c r="D33" s="6" t="s">
        <v>52</v>
      </c>
      <c r="E33" s="6"/>
      <c r="F33" s="41">
        <v>262</v>
      </c>
      <c r="G33" s="6">
        <v>1.9800000000000002E-2</v>
      </c>
      <c r="H33" s="7">
        <f>+F33*G33</f>
        <v>5.1876000000000007</v>
      </c>
      <c r="I33" s="6" t="s">
        <v>52</v>
      </c>
      <c r="J33" s="41">
        <v>480</v>
      </c>
      <c r="K33" s="6">
        <v>1.9800000000000002E-2</v>
      </c>
      <c r="L33" s="7">
        <f>+J33*K33</f>
        <v>9.5040000000000013</v>
      </c>
      <c r="M33" s="6" t="s">
        <v>52</v>
      </c>
      <c r="N33" s="41">
        <v>554</v>
      </c>
      <c r="O33" s="6">
        <v>1.9800000000000002E-2</v>
      </c>
      <c r="P33" s="7">
        <f>+N33*O33</f>
        <v>10.969200000000001</v>
      </c>
      <c r="Q33" s="6" t="s">
        <v>52</v>
      </c>
      <c r="R33" s="41">
        <v>447</v>
      </c>
      <c r="S33" s="6">
        <v>1.9800000000000002E-2</v>
      </c>
      <c r="T33" s="7">
        <f>+R33*S33</f>
        <v>8.8506</v>
      </c>
      <c r="U33" s="6" t="s">
        <v>52</v>
      </c>
      <c r="V33" s="41">
        <v>480</v>
      </c>
      <c r="W33" s="6">
        <v>1.9800000000000002E-2</v>
      </c>
      <c r="X33" s="7">
        <f>+V33*W33</f>
        <v>9.5040000000000013</v>
      </c>
      <c r="Y33" s="6" t="s">
        <v>52</v>
      </c>
      <c r="Z33" s="41">
        <v>411</v>
      </c>
      <c r="AA33" s="6">
        <v>1.9800000000000002E-2</v>
      </c>
      <c r="AB33" s="7">
        <f>+Z33*AA33</f>
        <v>8.1378000000000004</v>
      </c>
      <c r="AC33" s="6" t="s">
        <v>52</v>
      </c>
      <c r="AD33" s="41">
        <v>490</v>
      </c>
      <c r="AE33" s="6">
        <v>1.9800000000000002E-2</v>
      </c>
      <c r="AF33" s="7">
        <f>+AD33*AE33</f>
        <v>9.702</v>
      </c>
    </row>
    <row r="34" spans="1:32" x14ac:dyDescent="0.25">
      <c r="B34" s="17" t="s">
        <v>7</v>
      </c>
      <c r="C34" s="18" t="s">
        <v>6</v>
      </c>
      <c r="D34" s="9" t="s">
        <v>51</v>
      </c>
      <c r="E34" s="9"/>
      <c r="F34" s="42">
        <v>19</v>
      </c>
      <c r="G34" s="9">
        <v>5.0099999999999999E-2</v>
      </c>
      <c r="H34" s="10">
        <f t="shared" ref="H34" si="45">+F34*G34</f>
        <v>0.95189999999999997</v>
      </c>
      <c r="I34" s="9" t="s">
        <v>51</v>
      </c>
      <c r="J34" s="42">
        <v>38</v>
      </c>
      <c r="K34" s="9">
        <v>5.0099999999999999E-2</v>
      </c>
      <c r="L34" s="10">
        <f t="shared" ref="L34" si="46">+J34*K34</f>
        <v>1.9037999999999999</v>
      </c>
      <c r="M34" s="9" t="s">
        <v>51</v>
      </c>
      <c r="N34" s="42"/>
      <c r="O34" s="9">
        <v>5.0099999999999999E-2</v>
      </c>
      <c r="P34" s="10">
        <f t="shared" ref="P34" si="47">+N34*O34</f>
        <v>0</v>
      </c>
      <c r="Q34" s="9" t="s">
        <v>51</v>
      </c>
      <c r="R34" s="42"/>
      <c r="S34" s="9">
        <v>5.0099999999999999E-2</v>
      </c>
      <c r="T34" s="10">
        <f t="shared" ref="T34" si="48">+R34*S34</f>
        <v>0</v>
      </c>
      <c r="U34" s="9" t="s">
        <v>51</v>
      </c>
      <c r="V34" s="42">
        <v>3</v>
      </c>
      <c r="W34" s="9">
        <v>5.0099999999999999E-2</v>
      </c>
      <c r="X34" s="10">
        <f t="shared" ref="X34" si="49">+V34*W34</f>
        <v>0.15029999999999999</v>
      </c>
      <c r="Y34" s="9" t="s">
        <v>51</v>
      </c>
      <c r="Z34" s="42"/>
      <c r="AA34" s="9">
        <v>5.0099999999999999E-2</v>
      </c>
      <c r="AB34" s="10">
        <f t="shared" ref="AB34:AB36" si="50">+Z34*AA34</f>
        <v>0</v>
      </c>
      <c r="AC34" s="9" t="s">
        <v>51</v>
      </c>
      <c r="AD34" s="42"/>
      <c r="AE34" s="9">
        <v>5.0099999999999999E-2</v>
      </c>
      <c r="AF34" s="10">
        <f t="shared" ref="AF34:AF36" si="51">+AD34*AE34</f>
        <v>0</v>
      </c>
    </row>
    <row r="35" spans="1:32" x14ac:dyDescent="0.25">
      <c r="B35" s="15" t="s">
        <v>25</v>
      </c>
      <c r="C35" s="16" t="s">
        <v>24</v>
      </c>
      <c r="D35" s="6" t="s">
        <v>52</v>
      </c>
      <c r="E35" s="6"/>
      <c r="F35" s="41">
        <v>213</v>
      </c>
      <c r="G35" s="6">
        <v>1.9800000000000002E-2</v>
      </c>
      <c r="H35" s="7">
        <f t="shared" ref="H35:H36" si="52">+F35*G35</f>
        <v>4.2174000000000005</v>
      </c>
      <c r="I35" s="6" t="s">
        <v>52</v>
      </c>
      <c r="J35" s="41">
        <v>419</v>
      </c>
      <c r="K35" s="6">
        <v>1.9800000000000002E-2</v>
      </c>
      <c r="L35" s="7">
        <f t="shared" ref="L35:L36" si="53">+J35*K35</f>
        <v>8.2962000000000007</v>
      </c>
      <c r="M35" s="6" t="s">
        <v>52</v>
      </c>
      <c r="N35" s="41">
        <v>183</v>
      </c>
      <c r="O35" s="6">
        <v>1.9800000000000002E-2</v>
      </c>
      <c r="P35" s="7">
        <f t="shared" ref="P35:P36" si="54">+N35*O35</f>
        <v>3.6234000000000002</v>
      </c>
      <c r="Q35" s="6" t="s">
        <v>52</v>
      </c>
      <c r="R35" s="41">
        <v>80</v>
      </c>
      <c r="S35" s="6">
        <v>1.9800000000000002E-2</v>
      </c>
      <c r="T35" s="7">
        <f t="shared" ref="T35:T36" si="55">+R35*S35</f>
        <v>1.5840000000000001</v>
      </c>
      <c r="U35" s="6" t="s">
        <v>52</v>
      </c>
      <c r="V35" s="41">
        <v>100</v>
      </c>
      <c r="W35" s="6">
        <v>1.9800000000000002E-2</v>
      </c>
      <c r="X35" s="7">
        <f t="shared" ref="X35:X36" si="56">+V35*W35</f>
        <v>1.9800000000000002</v>
      </c>
      <c r="Y35" s="6" t="s">
        <v>52</v>
      </c>
      <c r="Z35" s="41">
        <v>157</v>
      </c>
      <c r="AA35" s="6">
        <v>1.9800000000000002E-2</v>
      </c>
      <c r="AB35" s="7">
        <f t="shared" si="50"/>
        <v>3.1086000000000005</v>
      </c>
      <c r="AC35" s="6" t="s">
        <v>52</v>
      </c>
      <c r="AD35" s="41">
        <v>146</v>
      </c>
      <c r="AE35" s="6">
        <v>1.9800000000000002E-2</v>
      </c>
      <c r="AF35" s="7">
        <f t="shared" si="51"/>
        <v>2.8908</v>
      </c>
    </row>
    <row r="36" spans="1:32" x14ac:dyDescent="0.25">
      <c r="B36" s="17" t="s">
        <v>25</v>
      </c>
      <c r="C36" s="18" t="s">
        <v>24</v>
      </c>
      <c r="D36" s="9" t="s">
        <v>51</v>
      </c>
      <c r="E36" s="9"/>
      <c r="F36" s="42"/>
      <c r="G36" s="9">
        <v>5.0099999999999999E-2</v>
      </c>
      <c r="H36" s="10">
        <f t="shared" si="52"/>
        <v>0</v>
      </c>
      <c r="I36" s="9" t="s">
        <v>51</v>
      </c>
      <c r="J36" s="42"/>
      <c r="K36" s="9">
        <v>5.0099999999999999E-2</v>
      </c>
      <c r="L36" s="10">
        <f t="shared" si="53"/>
        <v>0</v>
      </c>
      <c r="M36" s="9" t="s">
        <v>51</v>
      </c>
      <c r="N36" s="42"/>
      <c r="O36" s="9">
        <v>5.0099999999999999E-2</v>
      </c>
      <c r="P36" s="10">
        <f t="shared" si="54"/>
        <v>0</v>
      </c>
      <c r="Q36" s="9" t="s">
        <v>51</v>
      </c>
      <c r="R36" s="42"/>
      <c r="S36" s="9">
        <v>5.0099999999999999E-2</v>
      </c>
      <c r="T36" s="10">
        <f t="shared" si="55"/>
        <v>0</v>
      </c>
      <c r="U36" s="9" t="s">
        <v>51</v>
      </c>
      <c r="V36" s="42">
        <v>2</v>
      </c>
      <c r="W36" s="9">
        <v>5.0099999999999999E-2</v>
      </c>
      <c r="X36" s="10">
        <f t="shared" si="56"/>
        <v>0.1002</v>
      </c>
      <c r="Y36" s="9" t="s">
        <v>51</v>
      </c>
      <c r="Z36" s="42"/>
      <c r="AA36" s="9">
        <v>5.0099999999999999E-2</v>
      </c>
      <c r="AB36" s="10">
        <f t="shared" si="50"/>
        <v>0</v>
      </c>
      <c r="AC36" s="9" t="s">
        <v>51</v>
      </c>
      <c r="AD36" s="42"/>
      <c r="AE36" s="9">
        <v>5.0099999999999999E-2</v>
      </c>
      <c r="AF36" s="10">
        <f t="shared" si="51"/>
        <v>0</v>
      </c>
    </row>
    <row r="37" spans="1:32" x14ac:dyDescent="0.25">
      <c r="B37" s="15" t="s">
        <v>22</v>
      </c>
      <c r="C37" s="16" t="s">
        <v>21</v>
      </c>
      <c r="D37" s="6" t="s">
        <v>52</v>
      </c>
      <c r="E37" s="6"/>
      <c r="F37" s="41">
        <v>2300</v>
      </c>
      <c r="G37" s="6">
        <v>1.9800000000000002E-2</v>
      </c>
      <c r="H37" s="7">
        <f>+F37*G37</f>
        <v>45.540000000000006</v>
      </c>
      <c r="I37" s="6" t="s">
        <v>52</v>
      </c>
      <c r="J37" s="41">
        <v>2149</v>
      </c>
      <c r="K37" s="6">
        <v>1.9800000000000002E-2</v>
      </c>
      <c r="L37" s="7">
        <f>+J37*K37</f>
        <v>42.550200000000004</v>
      </c>
      <c r="M37" s="6" t="s">
        <v>52</v>
      </c>
      <c r="N37" s="41">
        <v>2167</v>
      </c>
      <c r="O37" s="6">
        <v>1.9800000000000002E-2</v>
      </c>
      <c r="P37" s="7">
        <f>+N37*O37</f>
        <v>42.906600000000005</v>
      </c>
      <c r="Q37" s="6" t="s">
        <v>52</v>
      </c>
      <c r="R37" s="41">
        <v>2270</v>
      </c>
      <c r="S37" s="6">
        <v>1.9800000000000002E-2</v>
      </c>
      <c r="T37" s="7">
        <f>+R37*S37</f>
        <v>44.946000000000005</v>
      </c>
      <c r="U37" s="6" t="s">
        <v>52</v>
      </c>
      <c r="V37" s="41">
        <v>2070</v>
      </c>
      <c r="W37" s="6">
        <v>1.9800000000000002E-2</v>
      </c>
      <c r="X37" s="7">
        <f>+V37*W37</f>
        <v>40.986000000000004</v>
      </c>
      <c r="Y37" s="6" t="s">
        <v>52</v>
      </c>
      <c r="Z37" s="41">
        <v>1291</v>
      </c>
      <c r="AA37" s="6">
        <v>1.9800000000000002E-2</v>
      </c>
      <c r="AB37" s="7">
        <f>+Z37*AA37</f>
        <v>25.561800000000002</v>
      </c>
      <c r="AC37" s="6" t="s">
        <v>52</v>
      </c>
      <c r="AD37" s="41">
        <v>3167</v>
      </c>
      <c r="AE37" s="6">
        <v>1.9800000000000002E-2</v>
      </c>
      <c r="AF37" s="7">
        <f>+AD37*AE37</f>
        <v>62.706600000000002</v>
      </c>
    </row>
    <row r="38" spans="1:32" x14ac:dyDescent="0.25">
      <c r="B38" s="17" t="s">
        <v>22</v>
      </c>
      <c r="C38" s="18" t="s">
        <v>21</v>
      </c>
      <c r="D38" s="9" t="s">
        <v>51</v>
      </c>
      <c r="E38" s="9"/>
      <c r="F38" s="42"/>
      <c r="G38" s="9">
        <v>5.0099999999999999E-2</v>
      </c>
      <c r="H38" s="10">
        <f t="shared" ref="H38" si="57">+F38*G38</f>
        <v>0</v>
      </c>
      <c r="I38" s="9" t="s">
        <v>51</v>
      </c>
      <c r="J38" s="42"/>
      <c r="K38" s="9">
        <v>5.0099999999999999E-2</v>
      </c>
      <c r="L38" s="10">
        <f t="shared" ref="L38" si="58">+J38*K38</f>
        <v>0</v>
      </c>
      <c r="M38" s="9" t="s">
        <v>51</v>
      </c>
      <c r="N38" s="42"/>
      <c r="O38" s="9">
        <v>5.0099999999999999E-2</v>
      </c>
      <c r="P38" s="10">
        <f t="shared" ref="P38" si="59">+N38*O38</f>
        <v>0</v>
      </c>
      <c r="Q38" s="9" t="s">
        <v>51</v>
      </c>
      <c r="R38" s="42"/>
      <c r="S38" s="9">
        <v>5.0099999999999999E-2</v>
      </c>
      <c r="T38" s="10">
        <f t="shared" ref="T38" si="60">+R38*S38</f>
        <v>0</v>
      </c>
      <c r="U38" s="9" t="s">
        <v>51</v>
      </c>
      <c r="V38" s="42"/>
      <c r="W38" s="9">
        <v>5.0099999999999999E-2</v>
      </c>
      <c r="X38" s="10">
        <f t="shared" ref="X38" si="61">+V38*W38</f>
        <v>0</v>
      </c>
      <c r="Y38" s="9" t="s">
        <v>51</v>
      </c>
      <c r="Z38" s="42"/>
      <c r="AA38" s="9">
        <v>5.0099999999999999E-2</v>
      </c>
      <c r="AB38" s="10">
        <f t="shared" ref="AB38" si="62">+Z38*AA38</f>
        <v>0</v>
      </c>
      <c r="AC38" s="9" t="s">
        <v>51</v>
      </c>
      <c r="AD38" s="42"/>
      <c r="AE38" s="9">
        <v>5.0099999999999999E-2</v>
      </c>
      <c r="AF38" s="10">
        <f t="shared" ref="AF38" si="63">+AD38*AE38</f>
        <v>0</v>
      </c>
    </row>
    <row r="39" spans="1:32" x14ac:dyDescent="0.25">
      <c r="B39" s="11" t="s">
        <v>28</v>
      </c>
      <c r="C39" s="12" t="s">
        <v>29</v>
      </c>
      <c r="D39" s="6" t="s">
        <v>52</v>
      </c>
      <c r="E39" s="6"/>
      <c r="F39" s="41"/>
      <c r="G39" s="6">
        <v>1.9800000000000002E-2</v>
      </c>
      <c r="H39" s="7">
        <f>+F39*G39</f>
        <v>0</v>
      </c>
      <c r="I39" s="6" t="s">
        <v>52</v>
      </c>
      <c r="J39" s="41"/>
      <c r="K39" s="6">
        <v>1.9800000000000002E-2</v>
      </c>
      <c r="L39" s="7">
        <f>+J39*K39</f>
        <v>0</v>
      </c>
      <c r="M39" s="6" t="s">
        <v>52</v>
      </c>
      <c r="N39" s="41"/>
      <c r="O39" s="6">
        <v>1.9800000000000002E-2</v>
      </c>
      <c r="P39" s="7">
        <f>+N39*O39</f>
        <v>0</v>
      </c>
      <c r="Q39" s="6" t="s">
        <v>52</v>
      </c>
      <c r="R39" s="41">
        <v>53</v>
      </c>
      <c r="S39" s="6">
        <v>1.9800000000000002E-2</v>
      </c>
      <c r="T39" s="7">
        <f>+R39*S39</f>
        <v>1.0494000000000001</v>
      </c>
      <c r="U39" s="6" t="s">
        <v>52</v>
      </c>
      <c r="V39" s="41">
        <v>241</v>
      </c>
      <c r="W39" s="6">
        <v>1.9800000000000002E-2</v>
      </c>
      <c r="X39" s="7">
        <f>+V39*W39</f>
        <v>4.7718000000000007</v>
      </c>
      <c r="Y39" s="6" t="s">
        <v>52</v>
      </c>
      <c r="Z39" s="41">
        <v>276</v>
      </c>
      <c r="AA39" s="6">
        <v>1.9800000000000002E-2</v>
      </c>
      <c r="AB39" s="7">
        <f>+Z39*AA39</f>
        <v>5.4648000000000003</v>
      </c>
      <c r="AC39" s="6" t="s">
        <v>52</v>
      </c>
      <c r="AD39" s="41">
        <v>0</v>
      </c>
      <c r="AE39" s="6">
        <v>1.9800000000000002E-2</v>
      </c>
      <c r="AF39" s="7">
        <f>+AD39*AE39</f>
        <v>0</v>
      </c>
    </row>
    <row r="40" spans="1:32" x14ac:dyDescent="0.25">
      <c r="B40" s="13" t="s">
        <v>28</v>
      </c>
      <c r="C40" s="14" t="s">
        <v>29</v>
      </c>
      <c r="D40" s="9" t="s">
        <v>51</v>
      </c>
      <c r="E40" s="9"/>
      <c r="F40" s="42">
        <v>38</v>
      </c>
      <c r="G40" s="9">
        <v>5.0099999999999999E-2</v>
      </c>
      <c r="H40" s="10">
        <f>+F40*G40</f>
        <v>1.9037999999999999</v>
      </c>
      <c r="I40" s="9" t="s">
        <v>51</v>
      </c>
      <c r="J40" s="42">
        <v>131</v>
      </c>
      <c r="K40" s="9">
        <v>5.0099999999999999E-2</v>
      </c>
      <c r="L40" s="10">
        <f>+J40*K40</f>
        <v>6.5630999999999995</v>
      </c>
      <c r="M40" s="9" t="s">
        <v>51</v>
      </c>
      <c r="N40" s="42">
        <v>233</v>
      </c>
      <c r="O40" s="9">
        <v>5.0099999999999999E-2</v>
      </c>
      <c r="P40" s="10">
        <f>+N40*O40</f>
        <v>11.673299999999999</v>
      </c>
      <c r="Q40" s="9" t="s">
        <v>51</v>
      </c>
      <c r="R40" s="42">
        <v>124</v>
      </c>
      <c r="S40" s="9">
        <v>5.0099999999999999E-2</v>
      </c>
      <c r="T40" s="10">
        <f>+R40*S40</f>
        <v>6.2123999999999997</v>
      </c>
      <c r="U40" s="9" t="s">
        <v>51</v>
      </c>
      <c r="V40" s="42">
        <v>2</v>
      </c>
      <c r="W40" s="9">
        <v>5.0099999999999999E-2</v>
      </c>
      <c r="X40" s="10">
        <f>+V40*W40</f>
        <v>0.1002</v>
      </c>
      <c r="Y40" s="9" t="s">
        <v>51</v>
      </c>
      <c r="Z40" s="42">
        <v>19</v>
      </c>
      <c r="AA40" s="9">
        <v>5.0099999999999999E-2</v>
      </c>
      <c r="AB40" s="10">
        <f>+Z40*AA40</f>
        <v>0.95189999999999997</v>
      </c>
      <c r="AC40" s="9" t="s">
        <v>51</v>
      </c>
      <c r="AD40" s="42">
        <v>0</v>
      </c>
      <c r="AE40" s="9">
        <v>5.0099999999999999E-2</v>
      </c>
      <c r="AF40" s="10">
        <f>+AD40*AE40</f>
        <v>0</v>
      </c>
    </row>
    <row r="41" spans="1:32" x14ac:dyDescent="0.25">
      <c r="B41" s="15" t="s">
        <v>30</v>
      </c>
      <c r="C41" s="16" t="s">
        <v>29</v>
      </c>
      <c r="D41" s="6" t="s">
        <v>52</v>
      </c>
      <c r="E41" s="6"/>
      <c r="F41" s="41"/>
      <c r="G41" s="6">
        <v>1.9800000000000002E-2</v>
      </c>
      <c r="H41" s="7">
        <f t="shared" ref="H41:H42" si="64">+F41*G41</f>
        <v>0</v>
      </c>
      <c r="I41" s="6" t="s">
        <v>52</v>
      </c>
      <c r="J41" s="41"/>
      <c r="K41" s="6">
        <v>1.9800000000000002E-2</v>
      </c>
      <c r="L41" s="7">
        <f t="shared" ref="L41:L42" si="65">+J41*K41</f>
        <v>0</v>
      </c>
      <c r="M41" s="6" t="s">
        <v>52</v>
      </c>
      <c r="N41" s="76">
        <v>1162</v>
      </c>
      <c r="O41" s="6">
        <v>1.9800000000000002E-2</v>
      </c>
      <c r="P41" s="7">
        <f t="shared" ref="P41:P42" si="66">+N41*O41</f>
        <v>23.007600000000004</v>
      </c>
      <c r="Q41" s="6" t="s">
        <v>52</v>
      </c>
      <c r="R41" s="41">
        <v>372</v>
      </c>
      <c r="S41" s="6">
        <v>1.9800000000000002E-2</v>
      </c>
      <c r="T41" s="7">
        <f t="shared" ref="T41:T42" si="67">+R41*S41</f>
        <v>7.3656000000000006</v>
      </c>
      <c r="U41" s="6" t="s">
        <v>52</v>
      </c>
      <c r="V41" s="41">
        <v>372</v>
      </c>
      <c r="W41" s="6">
        <v>1.9800000000000002E-2</v>
      </c>
      <c r="X41" s="7">
        <f t="shared" ref="X41:X42" si="68">+V41*W41</f>
        <v>7.3656000000000006</v>
      </c>
      <c r="Y41" s="6" t="s">
        <v>52</v>
      </c>
      <c r="Z41" s="41"/>
      <c r="AA41" s="6">
        <v>1.9800000000000002E-2</v>
      </c>
      <c r="AB41" s="7">
        <f t="shared" ref="AB41:AB44" si="69">+Z41*AA41</f>
        <v>0</v>
      </c>
      <c r="AC41" s="6" t="s">
        <v>52</v>
      </c>
      <c r="AD41" s="41">
        <v>0</v>
      </c>
      <c r="AE41" s="6">
        <v>1.9800000000000002E-2</v>
      </c>
      <c r="AF41" s="7">
        <f t="shared" ref="AF41:AF44" si="70">+AD41*AE41</f>
        <v>0</v>
      </c>
    </row>
    <row r="42" spans="1:32" x14ac:dyDescent="0.25">
      <c r="B42" s="17" t="s">
        <v>30</v>
      </c>
      <c r="C42" s="18" t="s">
        <v>29</v>
      </c>
      <c r="D42" s="9" t="s">
        <v>51</v>
      </c>
      <c r="E42" s="9"/>
      <c r="F42" s="42"/>
      <c r="G42" s="9">
        <v>5.0099999999999999E-2</v>
      </c>
      <c r="H42" s="10">
        <f t="shared" si="64"/>
        <v>0</v>
      </c>
      <c r="I42" s="9" t="s">
        <v>51</v>
      </c>
      <c r="J42" s="42"/>
      <c r="K42" s="9">
        <v>5.0099999999999999E-2</v>
      </c>
      <c r="L42" s="10">
        <f t="shared" si="65"/>
        <v>0</v>
      </c>
      <c r="M42" s="9" t="s">
        <v>51</v>
      </c>
      <c r="N42" s="77">
        <v>342</v>
      </c>
      <c r="O42" s="9">
        <v>5.0099999999999999E-2</v>
      </c>
      <c r="P42" s="10">
        <f t="shared" si="66"/>
        <v>17.1342</v>
      </c>
      <c r="Q42" s="9" t="s">
        <v>51</v>
      </c>
      <c r="R42" s="42"/>
      <c r="S42" s="9">
        <v>5.0099999999999999E-2</v>
      </c>
      <c r="T42" s="10">
        <f t="shared" si="67"/>
        <v>0</v>
      </c>
      <c r="U42" s="9" t="s">
        <v>51</v>
      </c>
      <c r="V42" s="42">
        <v>37</v>
      </c>
      <c r="W42" s="9">
        <v>5.0099999999999999E-2</v>
      </c>
      <c r="X42" s="10">
        <f t="shared" si="68"/>
        <v>1.8536999999999999</v>
      </c>
      <c r="Y42" s="9" t="s">
        <v>51</v>
      </c>
      <c r="Z42" s="42"/>
      <c r="AA42" s="9">
        <v>5.0099999999999999E-2</v>
      </c>
      <c r="AB42" s="10">
        <f t="shared" si="69"/>
        <v>0</v>
      </c>
      <c r="AC42" s="9" t="s">
        <v>51</v>
      </c>
      <c r="AD42" s="42">
        <v>0</v>
      </c>
      <c r="AE42" s="9">
        <v>5.0099999999999999E-2</v>
      </c>
      <c r="AF42" s="10">
        <f t="shared" si="70"/>
        <v>0</v>
      </c>
    </row>
    <row r="43" spans="1:32" x14ac:dyDescent="0.25">
      <c r="B43" s="15" t="s">
        <v>5</v>
      </c>
      <c r="C43" s="16" t="s">
        <v>4</v>
      </c>
      <c r="D43" s="6" t="s">
        <v>52</v>
      </c>
      <c r="E43" s="6"/>
      <c r="F43" s="41">
        <v>192</v>
      </c>
      <c r="G43" s="6">
        <v>1.9800000000000002E-2</v>
      </c>
      <c r="H43" s="7">
        <f t="shared" ref="H43:H44" si="71">+F43*G43</f>
        <v>3.8016000000000005</v>
      </c>
      <c r="I43" s="6" t="s">
        <v>52</v>
      </c>
      <c r="J43" s="41">
        <v>382</v>
      </c>
      <c r="K43" s="6">
        <v>1.9800000000000002E-2</v>
      </c>
      <c r="L43" s="7">
        <f t="shared" ref="L43:L44" si="72">+J43*K43</f>
        <v>7.563600000000001</v>
      </c>
      <c r="M43" s="6" t="s">
        <v>52</v>
      </c>
      <c r="N43" s="41"/>
      <c r="O43" s="6">
        <v>1.9800000000000002E-2</v>
      </c>
      <c r="P43" s="7">
        <f t="shared" ref="P43:P44" si="73">+N43*O43</f>
        <v>0</v>
      </c>
      <c r="Q43" s="6" t="s">
        <v>52</v>
      </c>
      <c r="R43" s="41"/>
      <c r="S43" s="6">
        <v>1.9800000000000002E-2</v>
      </c>
      <c r="T43" s="7">
        <f t="shared" ref="T43:T44" si="74">+R43*S43</f>
        <v>0</v>
      </c>
      <c r="U43" s="6" t="s">
        <v>52</v>
      </c>
      <c r="V43" s="41">
        <v>814</v>
      </c>
      <c r="W43" s="6">
        <v>1.9800000000000002E-2</v>
      </c>
      <c r="X43" s="7">
        <f t="shared" ref="X43:X44" si="75">+V43*W43</f>
        <v>16.1172</v>
      </c>
      <c r="Y43" s="6" t="s">
        <v>52</v>
      </c>
      <c r="Z43" s="41">
        <v>259</v>
      </c>
      <c r="AA43" s="6">
        <v>1.9800000000000002E-2</v>
      </c>
      <c r="AB43" s="7">
        <f t="shared" si="69"/>
        <v>5.1282000000000005</v>
      </c>
      <c r="AC43" s="6" t="s">
        <v>52</v>
      </c>
      <c r="AD43" s="41">
        <v>0</v>
      </c>
      <c r="AE43" s="6">
        <v>1.9800000000000002E-2</v>
      </c>
      <c r="AF43" s="7">
        <f t="shared" si="70"/>
        <v>0</v>
      </c>
    </row>
    <row r="44" spans="1:32" x14ac:dyDescent="0.25">
      <c r="B44" s="17" t="s">
        <v>5</v>
      </c>
      <c r="C44" s="18" t="s">
        <v>4</v>
      </c>
      <c r="D44" s="9" t="s">
        <v>51</v>
      </c>
      <c r="E44" s="9"/>
      <c r="F44" s="42"/>
      <c r="G44" s="9">
        <v>5.0099999999999999E-2</v>
      </c>
      <c r="H44" s="10">
        <f t="shared" si="71"/>
        <v>0</v>
      </c>
      <c r="I44" s="9" t="s">
        <v>51</v>
      </c>
      <c r="J44" s="42">
        <v>2</v>
      </c>
      <c r="K44" s="9">
        <v>5.0099999999999999E-2</v>
      </c>
      <c r="L44" s="10">
        <f t="shared" si="72"/>
        <v>0.1002</v>
      </c>
      <c r="M44" s="9" t="s">
        <v>51</v>
      </c>
      <c r="N44" s="42"/>
      <c r="O44" s="9">
        <v>5.0099999999999999E-2</v>
      </c>
      <c r="P44" s="10">
        <f t="shared" si="73"/>
        <v>0</v>
      </c>
      <c r="Q44" s="9" t="s">
        <v>51</v>
      </c>
      <c r="R44" s="42"/>
      <c r="S44" s="9">
        <v>5.0099999999999999E-2</v>
      </c>
      <c r="T44" s="10">
        <f t="shared" si="74"/>
        <v>0</v>
      </c>
      <c r="U44" s="9" t="s">
        <v>51</v>
      </c>
      <c r="V44" s="42">
        <v>2</v>
      </c>
      <c r="W44" s="9">
        <v>5.0099999999999999E-2</v>
      </c>
      <c r="X44" s="10">
        <f t="shared" si="75"/>
        <v>0.1002</v>
      </c>
      <c r="Y44" s="9" t="s">
        <v>51</v>
      </c>
      <c r="Z44" s="42"/>
      <c r="AA44" s="9">
        <v>5.0099999999999999E-2</v>
      </c>
      <c r="AB44" s="10">
        <f t="shared" si="69"/>
        <v>0</v>
      </c>
      <c r="AC44" s="9" t="s">
        <v>51</v>
      </c>
      <c r="AD44" s="42">
        <v>0</v>
      </c>
      <c r="AE44" s="9">
        <v>5.0099999999999999E-2</v>
      </c>
      <c r="AF44" s="10">
        <f t="shared" si="70"/>
        <v>0</v>
      </c>
    </row>
    <row r="45" spans="1:32" x14ac:dyDescent="0.25">
      <c r="A45" s="29"/>
      <c r="B45" s="23" t="s">
        <v>36</v>
      </c>
      <c r="C45" s="24" t="s">
        <v>35</v>
      </c>
      <c r="D45" s="6" t="s">
        <v>52</v>
      </c>
      <c r="E45" s="6"/>
      <c r="F45" s="41">
        <v>861</v>
      </c>
      <c r="G45" s="6">
        <v>1.3599999999999999E-2</v>
      </c>
      <c r="H45" s="7">
        <f>+F45*G45</f>
        <v>11.7096</v>
      </c>
      <c r="I45" s="6" t="s">
        <v>52</v>
      </c>
      <c r="J45" s="41">
        <v>302</v>
      </c>
      <c r="K45" s="6">
        <v>1.3599999999999999E-2</v>
      </c>
      <c r="L45" s="7">
        <f>+J45*K45</f>
        <v>4.1071999999999997</v>
      </c>
      <c r="M45" s="6" t="s">
        <v>52</v>
      </c>
      <c r="N45" s="41">
        <v>532</v>
      </c>
      <c r="O45" s="6">
        <v>1.3599999999999999E-2</v>
      </c>
      <c r="P45" s="7">
        <f>+N45*O45</f>
        <v>7.2351999999999999</v>
      </c>
      <c r="Q45" s="6" t="s">
        <v>52</v>
      </c>
      <c r="R45" s="41">
        <v>776</v>
      </c>
      <c r="S45" s="6">
        <v>1.3599999999999999E-2</v>
      </c>
      <c r="T45" s="7">
        <f>+R45*S45</f>
        <v>10.553599999999999</v>
      </c>
      <c r="U45" s="6" t="s">
        <v>52</v>
      </c>
      <c r="V45" s="41">
        <v>654</v>
      </c>
      <c r="W45" s="6">
        <v>1.3599999999999999E-2</v>
      </c>
      <c r="X45" s="7">
        <f>+V45*W45</f>
        <v>8.8943999999999992</v>
      </c>
      <c r="Y45" s="6" t="s">
        <v>52</v>
      </c>
      <c r="Z45" s="41">
        <v>536</v>
      </c>
      <c r="AA45" s="6">
        <v>1.3599999999999999E-2</v>
      </c>
      <c r="AB45" s="7">
        <f>+Z45*AA45</f>
        <v>7.2895999999999992</v>
      </c>
      <c r="AC45" s="6" t="s">
        <v>52</v>
      </c>
      <c r="AD45" s="41">
        <v>1049</v>
      </c>
      <c r="AE45" s="6">
        <v>1.3599999999999999E-2</v>
      </c>
      <c r="AF45" s="7">
        <f>+AD45*AE45</f>
        <v>14.266399999999999</v>
      </c>
    </row>
    <row r="46" spans="1:32" x14ac:dyDescent="0.25">
      <c r="A46" s="29"/>
      <c r="B46" s="25" t="s">
        <v>36</v>
      </c>
      <c r="C46" s="26" t="s">
        <v>35</v>
      </c>
      <c r="D46" s="9" t="s">
        <v>51</v>
      </c>
      <c r="E46" s="9"/>
      <c r="F46" s="42">
        <v>727</v>
      </c>
      <c r="G46" s="9">
        <v>6.0100000000000001E-2</v>
      </c>
      <c r="H46" s="10">
        <f t="shared" ref="H46" si="76">+F46*G46</f>
        <v>43.692700000000002</v>
      </c>
      <c r="I46" s="9" t="s">
        <v>51</v>
      </c>
      <c r="J46" s="42">
        <v>515</v>
      </c>
      <c r="K46" s="9">
        <v>6.0100000000000001E-2</v>
      </c>
      <c r="L46" s="10">
        <f t="shared" ref="L46" si="77">+J46*K46</f>
        <v>30.951499999999999</v>
      </c>
      <c r="M46" s="9" t="s">
        <v>51</v>
      </c>
      <c r="N46" s="42">
        <v>718</v>
      </c>
      <c r="O46" s="9">
        <v>6.0100000000000001E-2</v>
      </c>
      <c r="P46" s="10">
        <f t="shared" ref="P46" si="78">+N46*O46</f>
        <v>43.151800000000001</v>
      </c>
      <c r="Q46" s="9" t="s">
        <v>51</v>
      </c>
      <c r="R46" s="42">
        <v>893</v>
      </c>
      <c r="S46" s="9">
        <v>6.0100000000000001E-2</v>
      </c>
      <c r="T46" s="10">
        <f t="shared" ref="T46" si="79">+R46*S46</f>
        <v>53.6693</v>
      </c>
      <c r="U46" s="9" t="s">
        <v>51</v>
      </c>
      <c r="V46" s="42">
        <v>1216</v>
      </c>
      <c r="W46" s="9">
        <v>6.0100000000000001E-2</v>
      </c>
      <c r="X46" s="10">
        <f t="shared" ref="X46" si="80">+V46*W46</f>
        <v>73.081599999999995</v>
      </c>
      <c r="Y46" s="9" t="s">
        <v>51</v>
      </c>
      <c r="Z46" s="42">
        <v>690</v>
      </c>
      <c r="AA46" s="9">
        <v>6.0100000000000001E-2</v>
      </c>
      <c r="AB46" s="10">
        <f t="shared" ref="AB46" si="81">+Z46*AA46</f>
        <v>41.469000000000001</v>
      </c>
      <c r="AC46" s="9" t="s">
        <v>51</v>
      </c>
      <c r="AD46" s="42">
        <v>1039</v>
      </c>
      <c r="AE46" s="9">
        <v>6.0100000000000001E-2</v>
      </c>
      <c r="AF46" s="10">
        <f t="shared" ref="AF46" si="82">+AD46*AE46</f>
        <v>62.443899999999999</v>
      </c>
    </row>
    <row r="47" spans="1:32" x14ac:dyDescent="0.25">
      <c r="A47" s="29"/>
      <c r="B47" s="23" t="s">
        <v>38</v>
      </c>
      <c r="C47" s="24" t="s">
        <v>37</v>
      </c>
      <c r="D47" s="6" t="s">
        <v>52</v>
      </c>
      <c r="E47" s="6"/>
      <c r="F47" s="41">
        <v>1386</v>
      </c>
      <c r="G47" s="6">
        <v>2.0199999999999999E-2</v>
      </c>
      <c r="H47" s="7">
        <f>+F47*G47</f>
        <v>27.997199999999999</v>
      </c>
      <c r="I47" s="6" t="s">
        <v>52</v>
      </c>
      <c r="J47" s="41">
        <v>1094</v>
      </c>
      <c r="K47" s="6">
        <v>2.0199999999999999E-2</v>
      </c>
      <c r="L47" s="7">
        <f>+J47*K47</f>
        <v>22.098800000000001</v>
      </c>
      <c r="M47" s="6" t="s">
        <v>52</v>
      </c>
      <c r="N47" s="41">
        <v>1539</v>
      </c>
      <c r="O47" s="6">
        <v>2.0199999999999999E-2</v>
      </c>
      <c r="P47" s="7">
        <f>+N47*O47</f>
        <v>31.087799999999998</v>
      </c>
      <c r="Q47" s="6" t="s">
        <v>52</v>
      </c>
      <c r="R47" s="41">
        <v>1401</v>
      </c>
      <c r="S47" s="6">
        <v>2.0199999999999999E-2</v>
      </c>
      <c r="T47" s="7">
        <f>+R47*S47</f>
        <v>28.3002</v>
      </c>
      <c r="U47" s="6" t="s">
        <v>52</v>
      </c>
      <c r="V47" s="41">
        <v>1418</v>
      </c>
      <c r="W47" s="6">
        <v>2.0199999999999999E-2</v>
      </c>
      <c r="X47" s="7">
        <f>+V47*W47</f>
        <v>28.643599999999999</v>
      </c>
      <c r="Y47" s="6" t="s">
        <v>52</v>
      </c>
      <c r="Z47" s="41">
        <v>617</v>
      </c>
      <c r="AA47" s="6">
        <v>2.0199999999999999E-2</v>
      </c>
      <c r="AB47" s="7">
        <f>+Z47*AA47</f>
        <v>12.4634</v>
      </c>
      <c r="AC47" s="6" t="s">
        <v>52</v>
      </c>
      <c r="AD47" s="41">
        <v>0</v>
      </c>
      <c r="AE47" s="6">
        <v>2.0199999999999999E-2</v>
      </c>
      <c r="AF47" s="7">
        <f>+AD47*AE47</f>
        <v>0</v>
      </c>
    </row>
    <row r="48" spans="1:32" x14ac:dyDescent="0.25">
      <c r="A48" s="29"/>
      <c r="B48" s="25" t="s">
        <v>38</v>
      </c>
      <c r="C48" s="26" t="s">
        <v>37</v>
      </c>
      <c r="D48" s="9" t="s">
        <v>51</v>
      </c>
      <c r="E48" s="9"/>
      <c r="F48" s="42">
        <v>494</v>
      </c>
      <c r="G48" s="9">
        <v>5.1900000000000002E-2</v>
      </c>
      <c r="H48" s="10">
        <f t="shared" ref="H48" si="83">+F48*G48</f>
        <v>25.6386</v>
      </c>
      <c r="I48" s="9" t="s">
        <v>51</v>
      </c>
      <c r="J48" s="42">
        <v>211</v>
      </c>
      <c r="K48" s="9">
        <v>5.1900000000000002E-2</v>
      </c>
      <c r="L48" s="10">
        <f t="shared" ref="L48" si="84">+J48*K48</f>
        <v>10.950900000000001</v>
      </c>
      <c r="M48" s="9" t="s">
        <v>51</v>
      </c>
      <c r="N48" s="42">
        <v>339</v>
      </c>
      <c r="O48" s="9">
        <v>5.1900000000000002E-2</v>
      </c>
      <c r="P48" s="10">
        <f t="shared" ref="P48" si="85">+N48*O48</f>
        <v>17.594100000000001</v>
      </c>
      <c r="Q48" s="9" t="s">
        <v>51</v>
      </c>
      <c r="R48" s="42">
        <v>560</v>
      </c>
      <c r="S48" s="9">
        <v>5.1900000000000002E-2</v>
      </c>
      <c r="T48" s="10">
        <f t="shared" ref="T48" si="86">+R48*S48</f>
        <v>29.064</v>
      </c>
      <c r="U48" s="9" t="s">
        <v>51</v>
      </c>
      <c r="V48" s="42">
        <v>594</v>
      </c>
      <c r="W48" s="9">
        <v>5.1900000000000002E-2</v>
      </c>
      <c r="X48" s="10">
        <f t="shared" ref="X48" si="87">+V48*W48</f>
        <v>30.828600000000002</v>
      </c>
      <c r="Y48" s="9" t="s">
        <v>51</v>
      </c>
      <c r="Z48" s="42">
        <v>953</v>
      </c>
      <c r="AA48" s="9">
        <v>5.1900000000000002E-2</v>
      </c>
      <c r="AB48" s="10">
        <f t="shared" ref="AB48" si="88">+Z48*AA48</f>
        <v>49.460700000000003</v>
      </c>
      <c r="AC48" s="9" t="s">
        <v>51</v>
      </c>
      <c r="AD48" s="42">
        <v>0</v>
      </c>
      <c r="AE48" s="9">
        <v>5.1900000000000002E-2</v>
      </c>
      <c r="AF48" s="10">
        <f t="shared" ref="AF48" si="89">+AD48*AE48</f>
        <v>0</v>
      </c>
    </row>
    <row r="49" spans="1:32" x14ac:dyDescent="0.25">
      <c r="A49" s="29"/>
      <c r="B49" s="19" t="s">
        <v>46</v>
      </c>
      <c r="C49" s="21" t="s">
        <v>45</v>
      </c>
      <c r="D49" s="6" t="s">
        <v>52</v>
      </c>
      <c r="E49" s="6"/>
      <c r="F49" s="41">
        <v>12691</v>
      </c>
      <c r="G49" s="6">
        <v>1.11E-2</v>
      </c>
      <c r="H49" s="7">
        <f>+F49*G49</f>
        <v>140.87010000000001</v>
      </c>
      <c r="I49" s="6" t="s">
        <v>52</v>
      </c>
      <c r="J49" s="41">
        <v>7836</v>
      </c>
      <c r="K49" s="6">
        <v>1.11E-2</v>
      </c>
      <c r="L49" s="7">
        <f>+J49*K49</f>
        <v>86.979600000000005</v>
      </c>
      <c r="M49" s="6" t="s">
        <v>52</v>
      </c>
      <c r="N49" s="41">
        <v>9662</v>
      </c>
      <c r="O49" s="6">
        <v>1.11E-2</v>
      </c>
      <c r="P49" s="7">
        <f>+N49*O49</f>
        <v>107.24820000000001</v>
      </c>
      <c r="Q49" s="6" t="s">
        <v>52</v>
      </c>
      <c r="R49" s="41">
        <v>6545</v>
      </c>
      <c r="S49" s="6">
        <v>1.11E-2</v>
      </c>
      <c r="T49" s="7">
        <f>+R49*S49</f>
        <v>72.649500000000003</v>
      </c>
      <c r="U49" s="6" t="s">
        <v>52</v>
      </c>
      <c r="V49" s="41"/>
      <c r="W49" s="6">
        <v>1.11E-2</v>
      </c>
      <c r="X49" s="7">
        <f>+V49*W49</f>
        <v>0</v>
      </c>
      <c r="Y49" s="6" t="s">
        <v>52</v>
      </c>
      <c r="Z49" s="76">
        <v>2508</v>
      </c>
      <c r="AA49" s="6">
        <v>1.11E-2</v>
      </c>
      <c r="AB49" s="7">
        <f>+Z49*AA49</f>
        <v>27.838800000000003</v>
      </c>
      <c r="AC49" s="6" t="s">
        <v>52</v>
      </c>
      <c r="AD49" s="76">
        <v>10067</v>
      </c>
      <c r="AE49" s="6">
        <v>1.11E-2</v>
      </c>
      <c r="AF49" s="7">
        <f>+AD49*AE49</f>
        <v>111.7437</v>
      </c>
    </row>
    <row r="50" spans="1:32" x14ac:dyDescent="0.25">
      <c r="B50" s="20" t="s">
        <v>46</v>
      </c>
      <c r="C50" s="22" t="s">
        <v>45</v>
      </c>
      <c r="D50" s="9" t="s">
        <v>51</v>
      </c>
      <c r="E50" s="9"/>
      <c r="F50" s="42"/>
      <c r="G50" s="9">
        <v>5.45E-2</v>
      </c>
      <c r="H50" s="10">
        <f t="shared" ref="H50" si="90">+F50*G50</f>
        <v>0</v>
      </c>
      <c r="I50" s="9" t="s">
        <v>51</v>
      </c>
      <c r="J50" s="42"/>
      <c r="K50" s="9">
        <v>5.45E-2</v>
      </c>
      <c r="L50" s="10">
        <f t="shared" ref="L50" si="91">+J50*K50</f>
        <v>0</v>
      </c>
      <c r="M50" s="9" t="s">
        <v>51</v>
      </c>
      <c r="N50" s="42"/>
      <c r="O50" s="9">
        <v>5.45E-2</v>
      </c>
      <c r="P50" s="10">
        <f t="shared" ref="P50" si="92">+N50*O50</f>
        <v>0</v>
      </c>
      <c r="Q50" s="9" t="s">
        <v>51</v>
      </c>
      <c r="R50" s="42"/>
      <c r="S50" s="9">
        <v>5.45E-2</v>
      </c>
      <c r="T50" s="10">
        <f t="shared" ref="T50" si="93">+R50*S50</f>
        <v>0</v>
      </c>
      <c r="U50" s="9" t="s">
        <v>51</v>
      </c>
      <c r="V50" s="42"/>
      <c r="W50" s="9">
        <v>5.45E-2</v>
      </c>
      <c r="X50" s="10">
        <f t="shared" ref="X50" si="94">+V50*W50</f>
        <v>0</v>
      </c>
      <c r="Y50" s="9" t="s">
        <v>51</v>
      </c>
      <c r="Z50" s="42"/>
      <c r="AA50" s="9">
        <v>5.45E-2</v>
      </c>
      <c r="AB50" s="10">
        <f t="shared" ref="AB50" si="95">+Z50*AA50</f>
        <v>0</v>
      </c>
      <c r="AC50" s="9" t="s">
        <v>51</v>
      </c>
      <c r="AD50" s="42"/>
      <c r="AE50" s="9">
        <v>5.45E-2</v>
      </c>
      <c r="AF50" s="10">
        <f t="shared" ref="AF50" si="96">+AD50*AE50</f>
        <v>0</v>
      </c>
    </row>
    <row r="51" spans="1:32" x14ac:dyDescent="0.25">
      <c r="B51" s="19" t="s">
        <v>42</v>
      </c>
      <c r="C51" s="21" t="s">
        <v>41</v>
      </c>
      <c r="D51" s="6" t="s">
        <v>52</v>
      </c>
      <c r="E51" s="6"/>
      <c r="F51" s="41">
        <v>5406</v>
      </c>
      <c r="G51" s="6">
        <v>1.11E-2</v>
      </c>
      <c r="H51" s="7">
        <f>+F51*G51</f>
        <v>60.006600000000006</v>
      </c>
      <c r="I51" s="6" t="s">
        <v>52</v>
      </c>
      <c r="J51" s="41">
        <v>4102</v>
      </c>
      <c r="K51" s="6">
        <v>1.11E-2</v>
      </c>
      <c r="L51" s="7">
        <f>+J51*K51</f>
        <v>45.532200000000003</v>
      </c>
      <c r="M51" s="6" t="s">
        <v>52</v>
      </c>
      <c r="N51" s="41">
        <v>3187</v>
      </c>
      <c r="O51" s="6">
        <v>1.11E-2</v>
      </c>
      <c r="P51" s="7">
        <f>+N51*O51</f>
        <v>35.375700000000002</v>
      </c>
      <c r="Q51" s="6" t="s">
        <v>52</v>
      </c>
      <c r="R51" s="76">
        <v>23928</v>
      </c>
      <c r="S51" s="6">
        <v>1.11E-2</v>
      </c>
      <c r="T51" s="7">
        <f>+R51*S51</f>
        <v>265.60079999999999</v>
      </c>
      <c r="U51" s="6" t="s">
        <v>52</v>
      </c>
      <c r="V51" s="41">
        <v>3507</v>
      </c>
      <c r="W51" s="6">
        <v>1.11E-2</v>
      </c>
      <c r="X51" s="7">
        <f>+V51*W51</f>
        <v>38.927700000000002</v>
      </c>
      <c r="Y51" s="6" t="s">
        <v>52</v>
      </c>
      <c r="Z51" s="41">
        <v>1827</v>
      </c>
      <c r="AA51" s="6">
        <v>1.11E-2</v>
      </c>
      <c r="AB51" s="7">
        <f>+Z51*AA51</f>
        <v>20.279700000000002</v>
      </c>
      <c r="AC51" s="6" t="s">
        <v>52</v>
      </c>
      <c r="AD51" s="41">
        <v>7304</v>
      </c>
      <c r="AE51" s="6">
        <v>1.11E-2</v>
      </c>
      <c r="AF51" s="7">
        <f>+AD51*AE51</f>
        <v>81.074399999999997</v>
      </c>
    </row>
    <row r="52" spans="1:32" x14ac:dyDescent="0.25">
      <c r="B52" s="20" t="s">
        <v>42</v>
      </c>
      <c r="C52" s="22" t="s">
        <v>41</v>
      </c>
      <c r="D52" s="9" t="s">
        <v>51</v>
      </c>
      <c r="E52" s="9"/>
      <c r="F52" s="42"/>
      <c r="G52" s="9">
        <v>5.0099999999999999E-2</v>
      </c>
      <c r="H52" s="10">
        <f t="shared" ref="H52" si="97">+F52*G52</f>
        <v>0</v>
      </c>
      <c r="I52" s="9" t="s">
        <v>51</v>
      </c>
      <c r="J52" s="42"/>
      <c r="K52" s="9">
        <v>5.0099999999999999E-2</v>
      </c>
      <c r="L52" s="10">
        <f t="shared" ref="L52" si="98">+J52*K52</f>
        <v>0</v>
      </c>
      <c r="M52" s="9" t="s">
        <v>51</v>
      </c>
      <c r="N52" s="42"/>
      <c r="O52" s="9">
        <v>5.0099999999999999E-2</v>
      </c>
      <c r="P52" s="10">
        <f t="shared" ref="P52" si="99">+N52*O52</f>
        <v>0</v>
      </c>
      <c r="Q52" s="9" t="s">
        <v>51</v>
      </c>
      <c r="R52" s="42"/>
      <c r="S52" s="9">
        <v>5.0099999999999999E-2</v>
      </c>
      <c r="T52" s="10">
        <f t="shared" ref="T52" si="100">+R52*S52</f>
        <v>0</v>
      </c>
      <c r="U52" s="9" t="s">
        <v>51</v>
      </c>
      <c r="V52" s="42"/>
      <c r="W52" s="9">
        <v>5.0099999999999999E-2</v>
      </c>
      <c r="X52" s="10">
        <f t="shared" ref="X52" si="101">+V52*W52</f>
        <v>0</v>
      </c>
      <c r="Y52" s="9" t="s">
        <v>51</v>
      </c>
      <c r="Z52" s="42"/>
      <c r="AA52" s="9">
        <v>5.0099999999999999E-2</v>
      </c>
      <c r="AB52" s="10">
        <f t="shared" ref="AB52" si="102">+Z52*AA52</f>
        <v>0</v>
      </c>
      <c r="AC52" s="9" t="s">
        <v>51</v>
      </c>
      <c r="AD52" s="42"/>
      <c r="AE52" s="9">
        <v>5.0099999999999999E-2</v>
      </c>
      <c r="AF52" s="10">
        <f t="shared" ref="AF52" si="103">+AD52*AE52</f>
        <v>0</v>
      </c>
    </row>
    <row r="53" spans="1:32" x14ac:dyDescent="0.25">
      <c r="B53" s="19" t="s">
        <v>40</v>
      </c>
      <c r="C53" s="21" t="s">
        <v>39</v>
      </c>
      <c r="D53" s="6" t="s">
        <v>52</v>
      </c>
      <c r="E53" s="6"/>
      <c r="F53" s="41">
        <v>977</v>
      </c>
      <c r="G53" s="6">
        <v>1.11E-2</v>
      </c>
      <c r="H53" s="7">
        <f>+F53*G53</f>
        <v>10.844700000000001</v>
      </c>
      <c r="I53" s="6" t="s">
        <v>52</v>
      </c>
      <c r="J53" s="41">
        <v>618</v>
      </c>
      <c r="K53" s="6">
        <v>1.11E-2</v>
      </c>
      <c r="L53" s="7">
        <f>+J53*K53</f>
        <v>6.8597999999999999</v>
      </c>
      <c r="M53" s="6" t="s">
        <v>52</v>
      </c>
      <c r="N53" s="41">
        <v>347</v>
      </c>
      <c r="O53" s="6">
        <v>1.11E-2</v>
      </c>
      <c r="P53" s="7">
        <f>+N53*O53</f>
        <v>3.8517000000000001</v>
      </c>
      <c r="Q53" s="6" t="s">
        <v>52</v>
      </c>
      <c r="R53" s="41">
        <v>474</v>
      </c>
      <c r="S53" s="6">
        <v>1.11E-2</v>
      </c>
      <c r="T53" s="7">
        <f>+R53*S53</f>
        <v>5.2614000000000001</v>
      </c>
      <c r="U53" s="6" t="s">
        <v>52</v>
      </c>
      <c r="V53" s="41">
        <v>465</v>
      </c>
      <c r="W53" s="6">
        <v>1.11E-2</v>
      </c>
      <c r="X53" s="7">
        <f>+V53*W53</f>
        <v>5.1615000000000002</v>
      </c>
      <c r="Y53" s="6" t="s">
        <v>52</v>
      </c>
      <c r="Z53" s="41">
        <v>509</v>
      </c>
      <c r="AA53" s="6">
        <v>1.11E-2</v>
      </c>
      <c r="AB53" s="7">
        <f>+Z53*AA53</f>
        <v>5.6499000000000006</v>
      </c>
      <c r="AC53" s="6" t="s">
        <v>52</v>
      </c>
      <c r="AD53" s="41">
        <v>641</v>
      </c>
      <c r="AE53" s="6">
        <v>1.11E-2</v>
      </c>
      <c r="AF53" s="7">
        <f>+AD53*AE53</f>
        <v>7.1151</v>
      </c>
    </row>
    <row r="54" spans="1:32" x14ac:dyDescent="0.25">
      <c r="B54" s="20" t="s">
        <v>40</v>
      </c>
      <c r="C54" s="22" t="s">
        <v>39</v>
      </c>
      <c r="D54" s="9" t="s">
        <v>51</v>
      </c>
      <c r="E54" s="9"/>
      <c r="F54" s="42"/>
      <c r="G54" s="9">
        <v>5.0099999999999999E-2</v>
      </c>
      <c r="H54" s="10">
        <f t="shared" ref="H54" si="104">+F54*G54</f>
        <v>0</v>
      </c>
      <c r="I54" s="9" t="s">
        <v>51</v>
      </c>
      <c r="J54" s="42"/>
      <c r="K54" s="9">
        <v>5.0099999999999999E-2</v>
      </c>
      <c r="L54" s="10">
        <f t="shared" ref="L54" si="105">+J54*K54</f>
        <v>0</v>
      </c>
      <c r="M54" s="9" t="s">
        <v>51</v>
      </c>
      <c r="N54" s="42"/>
      <c r="O54" s="9">
        <v>5.0099999999999999E-2</v>
      </c>
      <c r="P54" s="10">
        <f t="shared" ref="P54" si="106">+N54*O54</f>
        <v>0</v>
      </c>
      <c r="Q54" s="9" t="s">
        <v>51</v>
      </c>
      <c r="R54" s="42"/>
      <c r="S54" s="9">
        <v>5.0099999999999999E-2</v>
      </c>
      <c r="T54" s="10">
        <f t="shared" ref="T54" si="107">+R54*S54</f>
        <v>0</v>
      </c>
      <c r="U54" s="9" t="s">
        <v>51</v>
      </c>
      <c r="V54" s="42"/>
      <c r="W54" s="9">
        <v>5.0099999999999999E-2</v>
      </c>
      <c r="X54" s="10">
        <f t="shared" ref="X54" si="108">+V54*W54</f>
        <v>0</v>
      </c>
      <c r="Y54" s="9" t="s">
        <v>51</v>
      </c>
      <c r="Z54" s="42"/>
      <c r="AA54" s="9">
        <v>5.0099999999999999E-2</v>
      </c>
      <c r="AB54" s="10">
        <f t="shared" ref="AB54" si="109">+Z54*AA54</f>
        <v>0</v>
      </c>
      <c r="AC54" s="9" t="s">
        <v>51</v>
      </c>
      <c r="AD54" s="42"/>
      <c r="AE54" s="9">
        <v>5.0099999999999999E-2</v>
      </c>
      <c r="AF54" s="10">
        <f t="shared" ref="AF54" si="110">+AD54*AE54</f>
        <v>0</v>
      </c>
    </row>
    <row r="55" spans="1:32" s="2" customFormat="1" x14ac:dyDescent="0.25">
      <c r="F55" s="4">
        <f>SUM(F7:F54)</f>
        <v>34954</v>
      </c>
      <c r="J55" s="4">
        <f>SUM(J7:J54)</f>
        <v>28473</v>
      </c>
      <c r="N55" s="4">
        <f>SUM(N7:N54)</f>
        <v>36089</v>
      </c>
      <c r="R55" s="4">
        <f>SUM(R7:R54)</f>
        <v>47535</v>
      </c>
      <c r="V55" s="4">
        <f>SUM(V7:V54)</f>
        <v>22448</v>
      </c>
      <c r="Z55" s="4">
        <f>SUM(Z7:Z54)</f>
        <v>19179</v>
      </c>
      <c r="AD55" s="4">
        <f>SUM(AD7:AD54)</f>
        <v>59696</v>
      </c>
    </row>
    <row r="56" spans="1:32" s="2" customFormat="1" x14ac:dyDescent="0.25">
      <c r="D56" s="5" t="s">
        <v>54</v>
      </c>
      <c r="E56" s="6"/>
      <c r="F56" s="6"/>
      <c r="G56" s="6"/>
      <c r="H56" s="7">
        <f>SUM(H7:H54)</f>
        <v>606.1495000000001</v>
      </c>
      <c r="I56" s="5" t="s">
        <v>54</v>
      </c>
      <c r="J56" s="6"/>
      <c r="K56" s="6"/>
      <c r="L56" s="7">
        <f>SUM(L7:L54)</f>
        <v>505.81289999999996</v>
      </c>
      <c r="M56" s="5" t="s">
        <v>54</v>
      </c>
      <c r="N56" s="6"/>
      <c r="O56" s="6"/>
      <c r="P56" s="7">
        <f>SUM(P7:P54)</f>
        <v>785.89400000000001</v>
      </c>
      <c r="Q56" s="5" t="s">
        <v>54</v>
      </c>
      <c r="R56" s="6"/>
      <c r="S56" s="6"/>
      <c r="T56" s="7">
        <f>SUM(T7:T54)</f>
        <v>732.27249999999992</v>
      </c>
      <c r="U56" s="5" t="s">
        <v>54</v>
      </c>
      <c r="V56" s="6"/>
      <c r="W56" s="6"/>
      <c r="X56" s="7">
        <f>SUM(X7:X54)</f>
        <v>483.44369999999998</v>
      </c>
      <c r="Y56" s="5" t="s">
        <v>54</v>
      </c>
      <c r="Z56" s="6"/>
      <c r="AA56" s="6"/>
      <c r="AB56" s="7">
        <f>SUM(AB7:AB54)</f>
        <v>406.19350000000003</v>
      </c>
      <c r="AC56" s="5" t="s">
        <v>54</v>
      </c>
      <c r="AD56" s="6"/>
      <c r="AE56" s="6"/>
      <c r="AF56" s="7">
        <f>SUM(AF7:AF54)</f>
        <v>928.77869999999984</v>
      </c>
    </row>
    <row r="57" spans="1:32" s="2" customFormat="1" x14ac:dyDescent="0.25">
      <c r="D57" s="8" t="s">
        <v>55</v>
      </c>
      <c r="E57" s="9"/>
      <c r="F57" s="57"/>
      <c r="G57" s="57"/>
      <c r="H57" s="59">
        <v>390.6</v>
      </c>
      <c r="I57" s="8" t="s">
        <v>55</v>
      </c>
      <c r="J57" s="57"/>
      <c r="K57" s="57"/>
      <c r="L57" s="59">
        <v>390.6</v>
      </c>
      <c r="M57" s="8" t="s">
        <v>55</v>
      </c>
      <c r="N57" s="9"/>
      <c r="O57" s="9"/>
      <c r="P57" s="59">
        <v>390.6</v>
      </c>
      <c r="Q57" s="55" t="s">
        <v>55</v>
      </c>
      <c r="R57" s="57"/>
      <c r="S57" s="57"/>
      <c r="T57" s="59">
        <v>390.6</v>
      </c>
      <c r="U57" s="55" t="s">
        <v>55</v>
      </c>
      <c r="V57" s="57"/>
      <c r="W57" s="57"/>
      <c r="X57" s="59">
        <v>390.6</v>
      </c>
      <c r="Y57" s="55" t="s">
        <v>55</v>
      </c>
      <c r="Z57" s="57"/>
      <c r="AA57" s="57"/>
      <c r="AB57" s="59">
        <v>390.6</v>
      </c>
      <c r="AC57" s="55" t="s">
        <v>55</v>
      </c>
      <c r="AD57" s="57"/>
      <c r="AE57" s="57"/>
      <c r="AF57" s="59">
        <v>390.6</v>
      </c>
    </row>
    <row r="58" spans="1:32" s="2" customFormat="1" x14ac:dyDescent="0.25"/>
    <row r="59" spans="1:32" s="2" customFormat="1" x14ac:dyDescent="0.25">
      <c r="D59" s="37" t="s">
        <v>56</v>
      </c>
      <c r="E59" s="39"/>
      <c r="F59" s="38"/>
      <c r="G59" s="39"/>
      <c r="H59" s="40">
        <f>+H56+H57</f>
        <v>996.74950000000013</v>
      </c>
      <c r="I59" s="37" t="s">
        <v>56</v>
      </c>
      <c r="J59" s="38"/>
      <c r="K59" s="39"/>
      <c r="L59" s="40">
        <f>+L56+L57</f>
        <v>896.41290000000004</v>
      </c>
      <c r="M59" s="37" t="s">
        <v>56</v>
      </c>
      <c r="N59" s="38"/>
      <c r="O59" s="39"/>
      <c r="P59" s="40">
        <f>+P56+P57</f>
        <v>1176.4940000000001</v>
      </c>
      <c r="Q59" s="37" t="s">
        <v>56</v>
      </c>
      <c r="R59" s="38"/>
      <c r="S59" s="39"/>
      <c r="T59" s="40">
        <f>+T56+T57</f>
        <v>1122.8724999999999</v>
      </c>
      <c r="U59" s="37" t="s">
        <v>56</v>
      </c>
      <c r="V59" s="38"/>
      <c r="W59" s="39"/>
      <c r="X59" s="40">
        <f>+X56+X57</f>
        <v>874.04369999999994</v>
      </c>
      <c r="Y59" s="37" t="s">
        <v>56</v>
      </c>
      <c r="Z59" s="38"/>
      <c r="AA59" s="39"/>
      <c r="AB59" s="40">
        <f>+AB56+AB57</f>
        <v>796.79349999999999</v>
      </c>
      <c r="AC59" s="37" t="s">
        <v>56</v>
      </c>
      <c r="AD59" s="38"/>
      <c r="AE59" s="39"/>
      <c r="AF59" s="40">
        <f>+AF56+AF57</f>
        <v>1319.3786999999998</v>
      </c>
    </row>
    <row r="60" spans="1:32" s="2" customFormat="1" hidden="1" outlineLevel="1" x14ac:dyDescent="0.25">
      <c r="D60" s="29" t="s">
        <v>62</v>
      </c>
      <c r="E60" s="29"/>
      <c r="H60" s="73">
        <v>1027.29</v>
      </c>
      <c r="I60" s="29" t="s">
        <v>62</v>
      </c>
      <c r="L60" s="73">
        <v>896.49</v>
      </c>
      <c r="M60" s="29" t="s">
        <v>62</v>
      </c>
      <c r="P60" s="73">
        <v>1176.48</v>
      </c>
      <c r="Q60" s="29" t="s">
        <v>62</v>
      </c>
      <c r="T60" s="73">
        <v>1122.8599999999999</v>
      </c>
      <c r="U60" s="29" t="s">
        <v>62</v>
      </c>
      <c r="X60" s="73">
        <v>874.04</v>
      </c>
      <c r="Y60" s="29" t="s">
        <v>62</v>
      </c>
      <c r="AB60" s="73">
        <v>874.04</v>
      </c>
      <c r="AC60" s="29" t="s">
        <v>62</v>
      </c>
      <c r="AF60" s="73">
        <v>874.04</v>
      </c>
    </row>
    <row r="61" spans="1:32" s="2" customFormat="1" hidden="1" outlineLevel="1" x14ac:dyDescent="0.25">
      <c r="D61" s="29" t="s">
        <v>61</v>
      </c>
      <c r="E61" s="29"/>
      <c r="F61" s="74"/>
      <c r="G61" s="29"/>
      <c r="H61" s="73">
        <f>+H60-H59</f>
        <v>30.540499999999838</v>
      </c>
      <c r="I61" s="29" t="s">
        <v>61</v>
      </c>
      <c r="J61" s="74"/>
      <c r="K61" s="29"/>
      <c r="L61" s="73">
        <f>+L60-L59</f>
        <v>7.7099999999973079E-2</v>
      </c>
      <c r="M61" s="29" t="s">
        <v>61</v>
      </c>
      <c r="N61" s="74"/>
      <c r="O61" s="29"/>
      <c r="P61" s="73">
        <f>+P60-P59</f>
        <v>-1.4000000000123691E-2</v>
      </c>
      <c r="Q61" s="29" t="s">
        <v>61</v>
      </c>
      <c r="R61" s="74"/>
      <c r="S61" s="29"/>
      <c r="T61" s="73">
        <f>+T60-T59</f>
        <v>-1.2500000000045475E-2</v>
      </c>
      <c r="U61" s="29" t="s">
        <v>61</v>
      </c>
      <c r="V61" s="74"/>
      <c r="W61" s="29"/>
      <c r="X61" s="73">
        <f>+X60-X59</f>
        <v>-3.6999999999807187E-3</v>
      </c>
      <c r="Y61" s="29" t="s">
        <v>61</v>
      </c>
      <c r="Z61" s="74"/>
      <c r="AA61" s="29"/>
      <c r="AB61" s="73">
        <f>+AB60-AB59</f>
        <v>77.246499999999969</v>
      </c>
      <c r="AC61" s="29" t="s">
        <v>61</v>
      </c>
      <c r="AD61" s="74"/>
      <c r="AE61" s="29"/>
      <c r="AF61" s="73">
        <f>+AF60-AF59</f>
        <v>-445.33869999999979</v>
      </c>
    </row>
    <row r="62" spans="1:32" s="2" customFormat="1" collapsed="1" x14ac:dyDescent="0.25">
      <c r="J62" s="4"/>
    </row>
    <row r="63" spans="1:32" s="2" customFormat="1" x14ac:dyDescent="0.25">
      <c r="F63" s="4"/>
      <c r="H63" s="3"/>
      <c r="J63" s="4"/>
      <c r="L63" s="72">
        <f>+L59/H59-1</f>
        <v>-0.10066380770695149</v>
      </c>
      <c r="N63" s="4"/>
      <c r="P63" s="72">
        <f>+P59/L59-1</f>
        <v>0.31244652994172672</v>
      </c>
      <c r="R63" s="4"/>
      <c r="T63" s="72">
        <f>+T59/P59-1</f>
        <v>-4.5577368010376706E-2</v>
      </c>
      <c r="V63" s="4"/>
      <c r="X63" s="72">
        <f>+X59/T59-1</f>
        <v>-0.22160022620555764</v>
      </c>
      <c r="Z63" s="4"/>
      <c r="AB63" s="72">
        <f>+AB59/X59-1</f>
        <v>-8.8382537394869343E-2</v>
      </c>
      <c r="AD63" s="4"/>
      <c r="AF63" s="72">
        <f>+AF59/AB59-1</f>
        <v>0.65586026994447089</v>
      </c>
    </row>
    <row r="64" spans="1:32" s="2" customFormat="1" x14ac:dyDescent="0.25">
      <c r="D64" s="29"/>
      <c r="E64" s="29"/>
      <c r="J64" s="4"/>
      <c r="L64" s="3"/>
      <c r="N64" s="4"/>
      <c r="P64" s="3"/>
      <c r="R64" s="4"/>
      <c r="T64" s="3"/>
      <c r="V64" s="4"/>
      <c r="X64" s="3"/>
      <c r="Z64" s="4"/>
      <c r="AB64" s="3"/>
    </row>
    <row r="65" spans="6:28" s="2" customFormat="1" x14ac:dyDescent="0.25">
      <c r="F65" s="4"/>
      <c r="H65" s="3"/>
      <c r="J65" s="4"/>
      <c r="L65" s="3"/>
      <c r="N65" s="4"/>
      <c r="P65" s="3"/>
      <c r="R65" s="4"/>
      <c r="T65" s="3"/>
      <c r="V65" s="4"/>
      <c r="X65" s="3"/>
      <c r="Z65" s="4"/>
      <c r="AB65" s="3"/>
    </row>
    <row r="66" spans="6:28" s="2" customFormat="1" x14ac:dyDescent="0.25">
      <c r="F66" s="4"/>
      <c r="H66" s="3"/>
      <c r="J66" s="4"/>
      <c r="L66" s="3"/>
      <c r="N66" s="4"/>
      <c r="P66" s="3"/>
      <c r="R66" s="4"/>
      <c r="T66" s="3"/>
      <c r="V66" s="4"/>
      <c r="X66" s="3"/>
      <c r="Z66" s="4"/>
      <c r="AB66" s="3"/>
    </row>
    <row r="67" spans="6:28" s="2" customFormat="1" x14ac:dyDescent="0.25">
      <c r="F67" s="4"/>
      <c r="H67" s="3"/>
      <c r="J67" s="4"/>
      <c r="L67" s="3"/>
      <c r="N67" s="4"/>
      <c r="P67" s="3"/>
      <c r="R67" s="4"/>
      <c r="T67" s="3"/>
      <c r="V67" s="4"/>
      <c r="X67" s="3"/>
      <c r="Z67" s="4"/>
      <c r="AB67" s="3"/>
    </row>
    <row r="68" spans="6:28" s="2" customFormat="1" x14ac:dyDescent="0.25">
      <c r="F68" s="4"/>
      <c r="H68" s="3"/>
      <c r="J68" s="4"/>
      <c r="L68" s="3"/>
      <c r="N68" s="4"/>
      <c r="P68" s="3"/>
      <c r="R68" s="4"/>
      <c r="T68" s="3"/>
      <c r="V68" s="4"/>
      <c r="X68" s="3"/>
      <c r="Z68" s="4"/>
      <c r="AB68" s="3"/>
    </row>
    <row r="69" spans="6:28" s="2" customFormat="1" x14ac:dyDescent="0.25">
      <c r="F69" s="4"/>
      <c r="H69" s="3"/>
      <c r="J69" s="4"/>
      <c r="L69" s="3"/>
      <c r="N69" s="4"/>
      <c r="P69" s="3"/>
      <c r="R69" s="4"/>
      <c r="T69" s="3"/>
      <c r="V69" s="4"/>
      <c r="X69" s="3"/>
      <c r="Z69" s="4"/>
      <c r="AB69" s="3"/>
    </row>
    <row r="70" spans="6:28" s="2" customFormat="1" x14ac:dyDescent="0.25">
      <c r="F70" s="4"/>
      <c r="H70" s="3"/>
      <c r="J70" s="4"/>
      <c r="L70" s="3"/>
      <c r="N70" s="4"/>
      <c r="P70" s="3"/>
      <c r="R70" s="4"/>
      <c r="T70" s="3"/>
      <c r="V70" s="4"/>
      <c r="X70" s="3"/>
      <c r="Z70" s="4"/>
      <c r="AB70" s="3"/>
    </row>
    <row r="71" spans="6:28" s="2" customFormat="1" x14ac:dyDescent="0.25">
      <c r="F71" s="4"/>
      <c r="H71" s="3"/>
      <c r="J71" s="4"/>
      <c r="L71" s="3"/>
      <c r="N71" s="4"/>
      <c r="P71" s="3"/>
      <c r="R71" s="4"/>
      <c r="T71" s="3"/>
      <c r="V71" s="4"/>
      <c r="X71" s="3"/>
      <c r="Z71" s="4"/>
      <c r="AB71" s="3"/>
    </row>
    <row r="72" spans="6:28" s="2" customFormat="1" x14ac:dyDescent="0.25">
      <c r="F72" s="4"/>
      <c r="H72" s="3"/>
      <c r="J72" s="4"/>
      <c r="L72" s="3"/>
      <c r="N72" s="4"/>
      <c r="P72" s="3"/>
      <c r="R72" s="4"/>
      <c r="T72" s="3"/>
      <c r="V72" s="4"/>
      <c r="X72" s="3"/>
      <c r="Z72" s="4"/>
      <c r="AB72" s="3"/>
    </row>
    <row r="73" spans="6:28" s="2" customFormat="1" x14ac:dyDescent="0.25">
      <c r="F73" s="4"/>
      <c r="H73" s="3"/>
      <c r="J73" s="4"/>
      <c r="L73" s="3"/>
      <c r="N73" s="4"/>
      <c r="P73" s="3"/>
      <c r="R73" s="4"/>
      <c r="T73" s="3"/>
      <c r="V73" s="4"/>
      <c r="X73" s="3"/>
      <c r="Z73" s="4"/>
      <c r="AB73" s="3"/>
    </row>
    <row r="74" spans="6:28" s="2" customFormat="1" x14ac:dyDescent="0.25">
      <c r="F74" s="4"/>
      <c r="H74" s="3"/>
      <c r="J74" s="4"/>
      <c r="L74" s="3"/>
      <c r="N74" s="4"/>
      <c r="P74" s="3"/>
      <c r="R74" s="4"/>
      <c r="T74" s="3"/>
      <c r="V74" s="4"/>
      <c r="X74" s="3"/>
      <c r="Z74" s="4"/>
      <c r="AB74" s="3"/>
    </row>
    <row r="75" spans="6:28" s="2" customFormat="1" x14ac:dyDescent="0.25">
      <c r="F75" s="4"/>
      <c r="H75" s="3"/>
      <c r="J75" s="4"/>
      <c r="L75" s="3"/>
      <c r="N75" s="4"/>
      <c r="P75" s="3"/>
      <c r="R75" s="4"/>
      <c r="T75" s="3"/>
      <c r="V75" s="4"/>
      <c r="X75" s="3"/>
      <c r="Z75" s="4"/>
      <c r="AB75" s="3"/>
    </row>
    <row r="76" spans="6:28" s="2" customFormat="1" x14ac:dyDescent="0.25">
      <c r="F76" s="4"/>
      <c r="H76" s="3"/>
      <c r="J76" s="4"/>
      <c r="L76" s="3"/>
      <c r="N76" s="4"/>
      <c r="P76" s="3"/>
      <c r="R76" s="4"/>
      <c r="T76" s="3"/>
      <c r="V76" s="4"/>
      <c r="X76" s="3"/>
      <c r="Z76" s="4"/>
      <c r="AB76" s="3"/>
    </row>
    <row r="77" spans="6:28" s="2" customFormat="1" x14ac:dyDescent="0.25">
      <c r="F77" s="4"/>
      <c r="H77" s="3"/>
      <c r="J77" s="4"/>
      <c r="L77" s="3"/>
      <c r="N77" s="4"/>
      <c r="P77" s="3"/>
      <c r="R77" s="4"/>
      <c r="T77" s="3"/>
      <c r="V77" s="4"/>
      <c r="X77" s="3"/>
      <c r="Z77" s="4"/>
      <c r="AB77" s="3"/>
    </row>
    <row r="78" spans="6:28" s="2" customFormat="1" x14ac:dyDescent="0.25">
      <c r="F78" s="4"/>
      <c r="H78" s="3"/>
      <c r="J78" s="4"/>
      <c r="L78" s="3"/>
      <c r="N78" s="4"/>
      <c r="P78" s="3"/>
      <c r="R78" s="4"/>
      <c r="T78" s="3"/>
      <c r="V78" s="4"/>
      <c r="X78" s="3"/>
      <c r="Z78" s="4"/>
      <c r="AB78" s="3"/>
    </row>
    <row r="79" spans="6:28" s="2" customFormat="1" x14ac:dyDescent="0.25">
      <c r="F79" s="4"/>
      <c r="H79" s="3"/>
      <c r="J79" s="4"/>
      <c r="L79" s="3"/>
      <c r="N79" s="4"/>
      <c r="P79" s="3"/>
      <c r="R79" s="4"/>
      <c r="T79" s="3"/>
      <c r="V79" s="4"/>
      <c r="X79" s="3"/>
      <c r="Z79" s="4"/>
      <c r="AB79" s="3"/>
    </row>
    <row r="80" spans="6:28" s="2" customFormat="1" x14ac:dyDescent="0.25">
      <c r="F80" s="4"/>
      <c r="H80" s="3"/>
      <c r="J80" s="4"/>
      <c r="L80" s="3"/>
      <c r="N80" s="4"/>
      <c r="P80" s="3"/>
      <c r="R80" s="4"/>
      <c r="T80" s="3"/>
      <c r="V80" s="4"/>
      <c r="X80" s="3"/>
      <c r="Z80" s="4"/>
      <c r="AB80" s="3"/>
    </row>
    <row r="81" spans="6:28" s="2" customFormat="1" x14ac:dyDescent="0.25">
      <c r="F81" s="4"/>
      <c r="H81" s="3"/>
      <c r="J81" s="4"/>
      <c r="L81" s="3"/>
      <c r="N81" s="4"/>
      <c r="P81" s="3"/>
      <c r="R81" s="4"/>
      <c r="T81" s="3"/>
      <c r="V81" s="4"/>
      <c r="X81" s="3"/>
      <c r="Z81" s="4"/>
      <c r="AB81" s="3"/>
    </row>
    <row r="82" spans="6:28" s="2" customFormat="1" x14ac:dyDescent="0.25">
      <c r="F82" s="4"/>
      <c r="H82" s="3"/>
      <c r="J82" s="4"/>
      <c r="L82" s="3"/>
      <c r="N82" s="4"/>
      <c r="P82" s="3"/>
      <c r="R82" s="4"/>
      <c r="T82" s="3"/>
      <c r="V82" s="4"/>
      <c r="X82" s="3"/>
      <c r="Z82" s="4"/>
      <c r="AB82" s="3"/>
    </row>
    <row r="83" spans="6:28" s="2" customFormat="1" x14ac:dyDescent="0.25">
      <c r="F83" s="4"/>
      <c r="H83" s="3"/>
      <c r="J83" s="4"/>
      <c r="L83" s="3"/>
      <c r="N83" s="4"/>
      <c r="P83" s="3"/>
      <c r="R83" s="4"/>
      <c r="T83" s="3"/>
      <c r="V83" s="4"/>
      <c r="X83" s="3"/>
      <c r="Z83" s="4"/>
      <c r="AB83" s="3"/>
    </row>
    <row r="84" spans="6:28" s="2" customFormat="1" x14ac:dyDescent="0.25">
      <c r="F84" s="4"/>
      <c r="H84" s="3"/>
      <c r="J84" s="4"/>
      <c r="L84" s="3"/>
      <c r="N84" s="4"/>
      <c r="P84" s="3"/>
      <c r="R84" s="4"/>
      <c r="T84" s="3"/>
      <c r="V84" s="4"/>
      <c r="X84" s="3"/>
      <c r="Z84" s="4"/>
      <c r="AB84" s="3"/>
    </row>
    <row r="85" spans="6:28" s="2" customFormat="1" x14ac:dyDescent="0.25">
      <c r="F85" s="4"/>
      <c r="H85" s="3"/>
      <c r="J85" s="4"/>
      <c r="L85" s="3"/>
      <c r="N85" s="4"/>
      <c r="P85" s="3"/>
      <c r="R85" s="4"/>
      <c r="T85" s="3"/>
      <c r="V85" s="4"/>
      <c r="X85" s="3"/>
      <c r="Z85" s="4"/>
      <c r="AB85" s="3"/>
    </row>
    <row r="86" spans="6:28" s="2" customFormat="1" x14ac:dyDescent="0.25">
      <c r="F86" s="4"/>
      <c r="H86" s="3"/>
      <c r="J86" s="4"/>
      <c r="L86" s="3"/>
      <c r="N86" s="4"/>
      <c r="P86" s="3"/>
      <c r="R86" s="4"/>
      <c r="T86" s="3"/>
      <c r="V86" s="4"/>
      <c r="X86" s="3"/>
      <c r="Z86" s="4"/>
      <c r="AB86" s="3"/>
    </row>
    <row r="87" spans="6:28" s="2" customFormat="1" x14ac:dyDescent="0.25">
      <c r="F87" s="4"/>
      <c r="H87" s="3"/>
      <c r="J87" s="4"/>
      <c r="L87" s="3"/>
      <c r="N87" s="4"/>
      <c r="P87" s="3"/>
      <c r="R87" s="4"/>
      <c r="T87" s="3"/>
      <c r="V87" s="4"/>
      <c r="X87" s="3"/>
      <c r="Z87" s="4"/>
      <c r="AB87" s="3"/>
    </row>
    <row r="88" spans="6:28" s="2" customFormat="1" x14ac:dyDescent="0.25">
      <c r="F88" s="4"/>
      <c r="H88" s="3"/>
      <c r="J88" s="4"/>
      <c r="L88" s="3"/>
      <c r="N88" s="4"/>
      <c r="P88" s="3"/>
      <c r="R88" s="4"/>
      <c r="T88" s="3"/>
      <c r="V88" s="4"/>
      <c r="X88" s="3"/>
      <c r="Z88" s="4"/>
      <c r="AB88" s="3"/>
    </row>
    <row r="89" spans="6:28" s="2" customFormat="1" x14ac:dyDescent="0.25">
      <c r="F89" s="4"/>
      <c r="H89" s="3"/>
      <c r="J89" s="4"/>
      <c r="L89" s="3"/>
      <c r="N89" s="4"/>
      <c r="P89" s="3"/>
      <c r="R89" s="4"/>
      <c r="T89" s="3"/>
      <c r="V89" s="4"/>
      <c r="X89" s="3"/>
      <c r="Z89" s="4"/>
      <c r="AB89" s="3"/>
    </row>
    <row r="90" spans="6:28" s="2" customFormat="1" x14ac:dyDescent="0.25">
      <c r="F90" s="4"/>
      <c r="H90" s="3"/>
      <c r="J90" s="4"/>
      <c r="L90" s="3"/>
      <c r="N90" s="4"/>
      <c r="P90" s="3"/>
      <c r="R90" s="4"/>
      <c r="T90" s="3"/>
      <c r="V90" s="4"/>
      <c r="X90" s="3"/>
      <c r="Z90" s="4"/>
      <c r="AB90" s="3"/>
    </row>
    <row r="91" spans="6:28" s="2" customFormat="1" x14ac:dyDescent="0.25">
      <c r="F91" s="4"/>
      <c r="H91" s="3"/>
      <c r="J91" s="4"/>
      <c r="L91" s="3"/>
      <c r="N91" s="4"/>
      <c r="P91" s="3"/>
      <c r="R91" s="4"/>
      <c r="T91" s="3"/>
      <c r="V91" s="4"/>
      <c r="X91" s="3"/>
      <c r="Z91" s="4"/>
      <c r="AB91" s="3"/>
    </row>
    <row r="92" spans="6:28" s="2" customFormat="1" x14ac:dyDescent="0.25">
      <c r="F92" s="4"/>
      <c r="H92" s="3"/>
      <c r="J92" s="4"/>
      <c r="L92" s="3"/>
      <c r="N92" s="4"/>
      <c r="P92" s="3"/>
      <c r="R92" s="4"/>
      <c r="T92" s="3"/>
      <c r="V92" s="4"/>
      <c r="X92" s="3"/>
      <c r="Z92" s="4"/>
      <c r="AB92" s="3"/>
    </row>
    <row r="93" spans="6:28" s="2" customFormat="1" x14ac:dyDescent="0.25">
      <c r="F93" s="4"/>
      <c r="H93" s="3"/>
      <c r="J93" s="4"/>
      <c r="L93" s="3"/>
      <c r="N93" s="4"/>
      <c r="P93" s="3"/>
      <c r="R93" s="4"/>
      <c r="T93" s="3"/>
      <c r="V93" s="4"/>
      <c r="X93" s="3"/>
      <c r="Z93" s="4"/>
      <c r="AB93" s="3"/>
    </row>
    <row r="94" spans="6:28" s="2" customFormat="1" x14ac:dyDescent="0.25">
      <c r="F94" s="4"/>
      <c r="H94" s="3"/>
      <c r="J94" s="4"/>
      <c r="L94" s="3"/>
      <c r="N94" s="4"/>
      <c r="P94" s="3"/>
      <c r="R94" s="4"/>
      <c r="T94" s="3"/>
      <c r="V94" s="4"/>
      <c r="X94" s="3"/>
      <c r="Z94" s="4"/>
      <c r="AB94" s="3"/>
    </row>
    <row r="95" spans="6:28" s="2" customFormat="1" x14ac:dyDescent="0.25">
      <c r="F95" s="4"/>
      <c r="H95" s="3"/>
      <c r="J95" s="4"/>
      <c r="L95" s="3"/>
      <c r="N95" s="4"/>
      <c r="P95" s="3"/>
      <c r="R95" s="4"/>
      <c r="T95" s="3"/>
      <c r="V95" s="4"/>
      <c r="X95" s="3"/>
      <c r="Z95" s="4"/>
      <c r="AB95" s="3"/>
    </row>
    <row r="96" spans="6:28" s="2" customFormat="1" x14ac:dyDescent="0.25">
      <c r="F96" s="4"/>
      <c r="H96" s="3"/>
      <c r="J96" s="4"/>
      <c r="L96" s="3"/>
      <c r="N96" s="4"/>
      <c r="P96" s="3"/>
      <c r="R96" s="4"/>
      <c r="T96" s="3"/>
      <c r="V96" s="4"/>
      <c r="X96" s="3"/>
      <c r="Z96" s="4"/>
      <c r="AB96" s="3"/>
    </row>
    <row r="97" spans="6:28" s="2" customFormat="1" x14ac:dyDescent="0.25">
      <c r="F97" s="4"/>
      <c r="H97" s="3"/>
      <c r="J97" s="4"/>
      <c r="L97" s="3"/>
      <c r="N97" s="4"/>
      <c r="P97" s="3"/>
      <c r="R97" s="4"/>
      <c r="T97" s="3"/>
      <c r="V97" s="4"/>
      <c r="X97" s="3"/>
      <c r="Z97" s="4"/>
      <c r="AB97" s="3"/>
    </row>
    <row r="98" spans="6:28" s="2" customFormat="1" x14ac:dyDescent="0.25">
      <c r="F98" s="4"/>
      <c r="H98" s="3"/>
      <c r="J98" s="4"/>
      <c r="L98" s="3"/>
      <c r="N98" s="4"/>
      <c r="P98" s="3"/>
      <c r="R98" s="4"/>
      <c r="T98" s="3"/>
      <c r="V98" s="4"/>
      <c r="X98" s="3"/>
      <c r="Z98" s="4"/>
      <c r="AB98" s="3"/>
    </row>
    <row r="99" spans="6:28" s="2" customFormat="1" x14ac:dyDescent="0.25">
      <c r="F99" s="4"/>
      <c r="H99" s="3"/>
      <c r="J99" s="4"/>
      <c r="L99" s="3"/>
      <c r="N99" s="4"/>
      <c r="P99" s="3"/>
      <c r="R99" s="4"/>
      <c r="T99" s="3"/>
      <c r="V99" s="4"/>
      <c r="X99" s="3"/>
      <c r="Z99" s="4"/>
      <c r="AB99" s="3"/>
    </row>
    <row r="100" spans="6:28" s="2" customFormat="1" x14ac:dyDescent="0.25">
      <c r="F100" s="4"/>
      <c r="H100" s="3"/>
      <c r="J100" s="4"/>
      <c r="L100" s="3"/>
      <c r="N100" s="4"/>
      <c r="P100" s="3"/>
      <c r="R100" s="4"/>
      <c r="T100" s="3"/>
      <c r="V100" s="4"/>
      <c r="X100" s="3"/>
      <c r="Z100" s="4"/>
      <c r="AB100" s="3"/>
    </row>
    <row r="101" spans="6:28" s="2" customFormat="1" x14ac:dyDescent="0.25">
      <c r="F101" s="4"/>
      <c r="H101" s="3"/>
      <c r="J101" s="4"/>
      <c r="L101" s="3"/>
      <c r="N101" s="4"/>
      <c r="P101" s="3"/>
      <c r="R101" s="4"/>
      <c r="T101" s="3"/>
      <c r="V101" s="4"/>
      <c r="X101" s="3"/>
      <c r="Z101" s="4"/>
      <c r="AB101" s="3"/>
    </row>
    <row r="102" spans="6:28" s="2" customFormat="1" x14ac:dyDescent="0.25">
      <c r="F102" s="4"/>
      <c r="H102" s="3"/>
      <c r="J102" s="4"/>
      <c r="L102" s="3"/>
      <c r="N102" s="4"/>
      <c r="P102" s="3"/>
      <c r="R102" s="4"/>
      <c r="T102" s="3"/>
      <c r="V102" s="4"/>
      <c r="X102" s="3"/>
      <c r="Z102" s="4"/>
      <c r="AB102" s="3"/>
    </row>
    <row r="103" spans="6:28" s="2" customFormat="1" x14ac:dyDescent="0.25">
      <c r="F103" s="4"/>
      <c r="H103" s="3"/>
      <c r="J103" s="4"/>
      <c r="L103" s="3"/>
      <c r="N103" s="4"/>
      <c r="P103" s="3"/>
      <c r="R103" s="4"/>
      <c r="T103" s="3"/>
      <c r="V103" s="4"/>
      <c r="X103" s="3"/>
      <c r="Z103" s="4"/>
      <c r="AB103" s="3"/>
    </row>
    <row r="104" spans="6:28" s="2" customFormat="1" x14ac:dyDescent="0.25">
      <c r="F104" s="4"/>
      <c r="H104" s="3"/>
      <c r="J104" s="4"/>
      <c r="L104" s="3"/>
      <c r="N104" s="4"/>
      <c r="P104" s="3"/>
      <c r="R104" s="4"/>
      <c r="T104" s="3"/>
      <c r="V104" s="4"/>
      <c r="X104" s="3"/>
      <c r="Z104" s="4"/>
      <c r="AB104" s="3"/>
    </row>
    <row r="105" spans="6:28" s="2" customFormat="1" x14ac:dyDescent="0.25">
      <c r="F105" s="4"/>
      <c r="H105" s="3"/>
      <c r="J105" s="4"/>
      <c r="L105" s="3"/>
      <c r="N105" s="4"/>
      <c r="P105" s="3"/>
      <c r="R105" s="4"/>
      <c r="T105" s="3"/>
      <c r="V105" s="4"/>
      <c r="X105" s="3"/>
      <c r="Z105" s="4"/>
      <c r="AB105" s="3"/>
    </row>
    <row r="106" spans="6:28" s="2" customFormat="1" x14ac:dyDescent="0.25">
      <c r="F106" s="4"/>
      <c r="H106" s="3"/>
      <c r="J106" s="4"/>
      <c r="L106" s="3"/>
      <c r="N106" s="4"/>
      <c r="P106" s="3"/>
      <c r="R106" s="4"/>
      <c r="T106" s="3"/>
      <c r="V106" s="4"/>
      <c r="X106" s="3"/>
      <c r="Z106" s="4"/>
      <c r="AB106" s="3"/>
    </row>
    <row r="107" spans="6:28" s="2" customFormat="1" x14ac:dyDescent="0.25">
      <c r="F107" s="4"/>
      <c r="H107" s="3"/>
      <c r="J107" s="4"/>
      <c r="L107" s="3"/>
      <c r="N107" s="4"/>
      <c r="P107" s="3"/>
      <c r="R107" s="4"/>
      <c r="T107" s="3"/>
      <c r="V107" s="4"/>
      <c r="X107" s="3"/>
      <c r="Z107" s="4"/>
      <c r="AB107" s="3"/>
    </row>
    <row r="108" spans="6:28" s="2" customFormat="1" x14ac:dyDescent="0.25">
      <c r="F108" s="4"/>
      <c r="H108" s="3"/>
      <c r="J108" s="4"/>
      <c r="L108" s="3"/>
      <c r="N108" s="4"/>
      <c r="P108" s="3"/>
      <c r="R108" s="4"/>
      <c r="T108" s="3"/>
      <c r="V108" s="4"/>
      <c r="X108" s="3"/>
      <c r="Z108" s="4"/>
      <c r="AB108" s="3"/>
    </row>
    <row r="109" spans="6:28" s="2" customFormat="1" x14ac:dyDescent="0.25">
      <c r="F109" s="4"/>
      <c r="H109" s="3"/>
      <c r="J109" s="4"/>
      <c r="L109" s="3"/>
      <c r="N109" s="4"/>
      <c r="P109" s="3"/>
      <c r="R109" s="4"/>
      <c r="T109" s="3"/>
      <c r="V109" s="4"/>
      <c r="X109" s="3"/>
      <c r="Z109" s="4"/>
      <c r="AB109" s="3"/>
    </row>
    <row r="110" spans="6:28" s="2" customFormat="1" x14ac:dyDescent="0.25">
      <c r="F110" s="4"/>
      <c r="H110" s="3"/>
      <c r="J110" s="4"/>
      <c r="L110" s="3"/>
      <c r="N110" s="4"/>
      <c r="P110" s="3"/>
      <c r="R110" s="4"/>
      <c r="T110" s="3"/>
      <c r="V110" s="4"/>
      <c r="X110" s="3"/>
      <c r="Z110" s="4"/>
      <c r="AB110" s="3"/>
    </row>
    <row r="111" spans="6:28" s="2" customFormat="1" x14ac:dyDescent="0.25">
      <c r="F111" s="4"/>
      <c r="H111" s="3"/>
      <c r="J111" s="4"/>
      <c r="L111" s="3"/>
      <c r="N111" s="4"/>
      <c r="P111" s="3"/>
      <c r="R111" s="4"/>
      <c r="T111" s="3"/>
      <c r="V111" s="4"/>
      <c r="X111" s="3"/>
      <c r="Z111" s="4"/>
      <c r="AB111" s="3"/>
    </row>
    <row r="112" spans="6:28" s="2" customFormat="1" x14ac:dyDescent="0.25">
      <c r="F112" s="4"/>
      <c r="H112" s="3"/>
      <c r="J112" s="4"/>
      <c r="L112" s="3"/>
      <c r="N112" s="4"/>
      <c r="P112" s="3"/>
      <c r="R112" s="4"/>
      <c r="T112" s="3"/>
      <c r="V112" s="4"/>
      <c r="X112" s="3"/>
      <c r="Z112" s="4"/>
      <c r="AB112" s="3"/>
    </row>
    <row r="113" spans="6:28" s="2" customFormat="1" x14ac:dyDescent="0.25">
      <c r="F113" s="4"/>
      <c r="H113" s="3"/>
      <c r="J113" s="4"/>
      <c r="L113" s="3"/>
      <c r="N113" s="4"/>
      <c r="P113" s="3"/>
      <c r="R113" s="4"/>
      <c r="T113" s="3"/>
      <c r="V113" s="4"/>
      <c r="X113" s="3"/>
      <c r="Z113" s="4"/>
      <c r="AB113" s="3"/>
    </row>
    <row r="114" spans="6:28" s="2" customFormat="1" x14ac:dyDescent="0.25">
      <c r="F114" s="4"/>
      <c r="H114" s="3"/>
      <c r="J114" s="4"/>
      <c r="L114" s="3"/>
      <c r="N114" s="4"/>
      <c r="P114" s="3"/>
      <c r="R114" s="4"/>
      <c r="T114" s="3"/>
      <c r="V114" s="4"/>
      <c r="X114" s="3"/>
      <c r="Z114" s="4"/>
      <c r="AB114" s="3"/>
    </row>
    <row r="115" spans="6:28" s="2" customFormat="1" x14ac:dyDescent="0.25">
      <c r="F115" s="4"/>
      <c r="H115" s="3"/>
      <c r="J115" s="4"/>
      <c r="L115" s="3"/>
      <c r="N115" s="4"/>
      <c r="P115" s="3"/>
      <c r="R115" s="4"/>
      <c r="T115" s="3"/>
      <c r="V115" s="4"/>
      <c r="X115" s="3"/>
      <c r="Z115" s="4"/>
      <c r="AB115" s="3"/>
    </row>
    <row r="116" spans="6:28" s="2" customFormat="1" x14ac:dyDescent="0.25">
      <c r="F116" s="4"/>
      <c r="H116" s="3"/>
      <c r="J116" s="4"/>
      <c r="L116" s="3"/>
      <c r="N116" s="4"/>
      <c r="P116" s="3"/>
      <c r="R116" s="4"/>
      <c r="T116" s="3"/>
      <c r="V116" s="4"/>
      <c r="X116" s="3"/>
      <c r="Z116" s="4"/>
      <c r="AB116" s="3"/>
    </row>
    <row r="117" spans="6:28" s="2" customFormat="1" x14ac:dyDescent="0.25">
      <c r="F117" s="4"/>
      <c r="H117" s="3"/>
      <c r="J117" s="4"/>
      <c r="L117" s="3"/>
      <c r="N117" s="4"/>
      <c r="P117" s="3"/>
      <c r="R117" s="4"/>
      <c r="T117" s="3"/>
      <c r="V117" s="4"/>
      <c r="X117" s="3"/>
      <c r="Z117" s="4"/>
      <c r="AB117" s="3"/>
    </row>
    <row r="118" spans="6:28" s="2" customFormat="1" x14ac:dyDescent="0.25">
      <c r="F118" s="4"/>
      <c r="H118" s="3"/>
      <c r="J118" s="4"/>
      <c r="L118" s="3"/>
      <c r="N118" s="4"/>
      <c r="P118" s="3"/>
      <c r="R118" s="4"/>
      <c r="T118" s="3"/>
      <c r="V118" s="4"/>
      <c r="X118" s="3"/>
      <c r="Z118" s="4"/>
      <c r="AB118" s="3"/>
    </row>
    <row r="119" spans="6:28" s="2" customFormat="1" x14ac:dyDescent="0.25">
      <c r="F119" s="4"/>
      <c r="H119" s="3"/>
      <c r="J119" s="4"/>
      <c r="L119" s="3"/>
      <c r="N119" s="4"/>
      <c r="P119" s="3"/>
      <c r="R119" s="4"/>
      <c r="T119" s="3"/>
      <c r="V119" s="4"/>
      <c r="X119" s="3"/>
      <c r="Z119" s="4"/>
      <c r="AB119" s="3"/>
    </row>
    <row r="120" spans="6:28" s="2" customFormat="1" x14ac:dyDescent="0.25">
      <c r="F120" s="4"/>
      <c r="H120" s="3"/>
      <c r="J120" s="4"/>
      <c r="L120" s="3"/>
      <c r="N120" s="4"/>
      <c r="P120" s="3"/>
      <c r="R120" s="4"/>
      <c r="T120" s="3"/>
      <c r="V120" s="4"/>
      <c r="X120" s="3"/>
      <c r="Z120" s="4"/>
      <c r="AB120" s="3"/>
    </row>
    <row r="121" spans="6:28" s="2" customFormat="1" x14ac:dyDescent="0.25">
      <c r="F121" s="4"/>
      <c r="H121" s="3"/>
      <c r="J121" s="4"/>
      <c r="L121" s="3"/>
      <c r="N121" s="4"/>
      <c r="P121" s="3"/>
      <c r="R121" s="4"/>
      <c r="T121" s="3"/>
      <c r="V121" s="4"/>
      <c r="X121" s="3"/>
      <c r="Z121" s="4"/>
      <c r="AB121" s="3"/>
    </row>
    <row r="122" spans="6:28" s="2" customFormat="1" x14ac:dyDescent="0.25">
      <c r="F122" s="4"/>
      <c r="H122" s="3"/>
      <c r="J122" s="4"/>
      <c r="L122" s="3"/>
      <c r="N122" s="4"/>
      <c r="P122" s="3"/>
      <c r="R122" s="4"/>
      <c r="T122" s="3"/>
      <c r="V122" s="4"/>
      <c r="X122" s="3"/>
      <c r="Z122" s="4"/>
      <c r="AB122" s="3"/>
    </row>
    <row r="123" spans="6:28" s="2" customFormat="1" x14ac:dyDescent="0.25">
      <c r="F123" s="4"/>
      <c r="H123" s="3"/>
      <c r="J123" s="4"/>
      <c r="L123" s="3"/>
      <c r="N123" s="4"/>
      <c r="P123" s="3"/>
      <c r="R123" s="4"/>
      <c r="T123" s="3"/>
      <c r="V123" s="4"/>
      <c r="X123" s="3"/>
      <c r="Z123" s="4"/>
      <c r="AB123" s="3"/>
    </row>
    <row r="124" spans="6:28" s="2" customFormat="1" x14ac:dyDescent="0.25">
      <c r="F124" s="4"/>
      <c r="H124" s="3"/>
      <c r="J124" s="4"/>
      <c r="L124" s="3"/>
      <c r="N124" s="4"/>
      <c r="P124" s="3"/>
      <c r="R124" s="4"/>
      <c r="T124" s="3"/>
      <c r="V124" s="4"/>
      <c r="X124" s="3"/>
      <c r="Z124" s="4"/>
      <c r="AB124" s="3"/>
    </row>
    <row r="125" spans="6:28" s="2" customFormat="1" x14ac:dyDescent="0.25">
      <c r="F125" s="4"/>
      <c r="H125" s="3"/>
      <c r="J125" s="4"/>
      <c r="L125" s="3"/>
      <c r="N125" s="4"/>
      <c r="P125" s="3"/>
      <c r="R125" s="4"/>
      <c r="T125" s="3"/>
      <c r="V125" s="4"/>
      <c r="X125" s="3"/>
      <c r="Z125" s="4"/>
      <c r="AB125" s="3"/>
    </row>
    <row r="126" spans="6:28" s="2" customFormat="1" x14ac:dyDescent="0.25">
      <c r="F126" s="4"/>
      <c r="H126" s="3"/>
      <c r="J126" s="4"/>
      <c r="L126" s="3"/>
      <c r="N126" s="4"/>
      <c r="P126" s="3"/>
      <c r="R126" s="4"/>
      <c r="T126" s="3"/>
      <c r="V126" s="4"/>
      <c r="X126" s="3"/>
      <c r="Z126" s="4"/>
      <c r="AB126" s="3"/>
    </row>
    <row r="127" spans="6:28" s="2" customFormat="1" x14ac:dyDescent="0.25">
      <c r="F127" s="4"/>
      <c r="H127" s="3"/>
      <c r="J127" s="4"/>
      <c r="L127" s="3"/>
      <c r="N127" s="4"/>
      <c r="P127" s="3"/>
      <c r="R127" s="4"/>
      <c r="T127" s="3"/>
      <c r="V127" s="4"/>
      <c r="X127" s="3"/>
      <c r="Z127" s="4"/>
      <c r="AB127" s="3"/>
    </row>
    <row r="128" spans="6:28" s="2" customFormat="1" x14ac:dyDescent="0.25">
      <c r="F128" s="4"/>
      <c r="H128" s="3"/>
      <c r="J128" s="4"/>
      <c r="L128" s="3"/>
      <c r="N128" s="4"/>
      <c r="P128" s="3"/>
      <c r="R128" s="4"/>
      <c r="T128" s="3"/>
      <c r="V128" s="4"/>
      <c r="X128" s="3"/>
      <c r="Z128" s="4"/>
      <c r="AB128" s="3"/>
    </row>
    <row r="129" spans="6:28" s="2" customFormat="1" x14ac:dyDescent="0.25">
      <c r="F129" s="4"/>
      <c r="H129" s="3"/>
      <c r="J129" s="4"/>
      <c r="L129" s="3"/>
      <c r="N129" s="4"/>
      <c r="P129" s="3"/>
      <c r="R129" s="4"/>
      <c r="T129" s="3"/>
      <c r="V129" s="4"/>
      <c r="X129" s="3"/>
      <c r="Z129" s="4"/>
      <c r="AB129" s="3"/>
    </row>
    <row r="130" spans="6:28" s="2" customFormat="1" x14ac:dyDescent="0.25">
      <c r="F130" s="4"/>
      <c r="H130" s="3"/>
      <c r="J130" s="4"/>
      <c r="L130" s="3"/>
      <c r="N130" s="4"/>
      <c r="P130" s="3"/>
      <c r="R130" s="4"/>
      <c r="T130" s="3"/>
      <c r="V130" s="4"/>
      <c r="X130" s="3"/>
      <c r="Z130" s="4"/>
      <c r="AB130" s="3"/>
    </row>
    <row r="131" spans="6:28" s="2" customFormat="1" x14ac:dyDescent="0.25">
      <c r="F131" s="4"/>
      <c r="H131" s="3"/>
      <c r="J131" s="4"/>
      <c r="L131" s="3"/>
      <c r="N131" s="4"/>
      <c r="P131" s="3"/>
      <c r="R131" s="4"/>
      <c r="T131" s="3"/>
      <c r="V131" s="4"/>
      <c r="X131" s="3"/>
      <c r="Z131" s="4"/>
      <c r="AB131" s="3"/>
    </row>
    <row r="132" spans="6:28" s="2" customFormat="1" x14ac:dyDescent="0.25">
      <c r="F132" s="4"/>
      <c r="H132" s="3"/>
      <c r="J132" s="4"/>
      <c r="L132" s="3"/>
      <c r="N132" s="4"/>
      <c r="P132" s="3"/>
      <c r="R132" s="4"/>
      <c r="T132" s="3"/>
      <c r="V132" s="4"/>
      <c r="X132" s="3"/>
      <c r="Z132" s="4"/>
      <c r="AB132" s="3"/>
    </row>
    <row r="133" spans="6:28" s="2" customFormat="1" x14ac:dyDescent="0.25">
      <c r="F133" s="4"/>
      <c r="H133" s="3"/>
      <c r="J133" s="4"/>
      <c r="L133" s="3"/>
      <c r="N133" s="4"/>
      <c r="P133" s="3"/>
      <c r="R133" s="4"/>
      <c r="T133" s="3"/>
      <c r="V133" s="4"/>
      <c r="X133" s="3"/>
      <c r="Z133" s="4"/>
      <c r="AB133" s="3"/>
    </row>
    <row r="134" spans="6:28" s="2" customFormat="1" x14ac:dyDescent="0.25">
      <c r="F134" s="4"/>
      <c r="H134" s="3"/>
      <c r="J134" s="4"/>
      <c r="L134" s="3"/>
      <c r="N134" s="4"/>
      <c r="P134" s="3"/>
      <c r="R134" s="4"/>
      <c r="T134" s="3"/>
      <c r="V134" s="4"/>
      <c r="X134" s="3"/>
      <c r="Z134" s="4"/>
      <c r="AB134" s="3"/>
    </row>
    <row r="135" spans="6:28" s="2" customFormat="1" x14ac:dyDescent="0.25">
      <c r="F135" s="4"/>
      <c r="H135" s="3"/>
      <c r="J135" s="4"/>
      <c r="L135" s="3"/>
      <c r="N135" s="4"/>
      <c r="P135" s="3"/>
      <c r="R135" s="4"/>
      <c r="T135" s="3"/>
      <c r="V135" s="4"/>
      <c r="X135" s="3"/>
      <c r="Z135" s="4"/>
      <c r="AB135" s="3"/>
    </row>
    <row r="136" spans="6:28" s="2" customFormat="1" x14ac:dyDescent="0.25">
      <c r="F136" s="4"/>
      <c r="H136" s="3"/>
      <c r="J136" s="4"/>
      <c r="L136" s="3"/>
      <c r="N136" s="4"/>
      <c r="P136" s="3"/>
      <c r="R136" s="4"/>
      <c r="T136" s="3"/>
      <c r="V136" s="4"/>
      <c r="X136" s="3"/>
      <c r="Z136" s="4"/>
      <c r="AB136" s="3"/>
    </row>
    <row r="137" spans="6:28" s="2" customFormat="1" x14ac:dyDescent="0.25">
      <c r="F137" s="4"/>
      <c r="H137" s="3"/>
      <c r="J137" s="4"/>
      <c r="L137" s="3"/>
      <c r="N137" s="4"/>
      <c r="P137" s="3"/>
      <c r="R137" s="4"/>
      <c r="T137" s="3"/>
      <c r="V137" s="4"/>
      <c r="X137" s="3"/>
      <c r="Z137" s="4"/>
      <c r="AB137" s="3"/>
    </row>
    <row r="138" spans="6:28" s="2" customFormat="1" x14ac:dyDescent="0.25">
      <c r="F138" s="4"/>
      <c r="H138" s="3"/>
      <c r="J138" s="4"/>
      <c r="L138" s="3"/>
      <c r="N138" s="4"/>
      <c r="P138" s="3"/>
      <c r="R138" s="4"/>
      <c r="T138" s="3"/>
      <c r="V138" s="4"/>
      <c r="X138" s="3"/>
      <c r="Z138" s="4"/>
      <c r="AB138" s="3"/>
    </row>
    <row r="139" spans="6:28" s="2" customFormat="1" x14ac:dyDescent="0.25">
      <c r="F139" s="4"/>
      <c r="H139" s="3"/>
      <c r="J139" s="4"/>
      <c r="L139" s="3"/>
      <c r="N139" s="4"/>
      <c r="P139" s="3"/>
      <c r="R139" s="4"/>
      <c r="T139" s="3"/>
      <c r="V139" s="4"/>
      <c r="X139" s="3"/>
      <c r="Z139" s="4"/>
      <c r="AB139" s="3"/>
    </row>
    <row r="140" spans="6:28" s="2" customFormat="1" x14ac:dyDescent="0.25">
      <c r="F140" s="4"/>
      <c r="H140" s="3"/>
      <c r="J140" s="4"/>
      <c r="L140" s="3"/>
      <c r="N140" s="4"/>
      <c r="P140" s="3"/>
      <c r="R140" s="4"/>
      <c r="T140" s="3"/>
      <c r="V140" s="4"/>
      <c r="X140" s="3"/>
      <c r="Z140" s="4"/>
      <c r="AB140" s="3"/>
    </row>
    <row r="141" spans="6:28" s="2" customFormat="1" x14ac:dyDescent="0.25">
      <c r="F141" s="4"/>
      <c r="H141" s="3"/>
      <c r="J141" s="4"/>
      <c r="L141" s="3"/>
      <c r="N141" s="4"/>
      <c r="P141" s="3"/>
      <c r="R141" s="4"/>
      <c r="T141" s="3"/>
      <c r="V141" s="4"/>
      <c r="X141" s="3"/>
      <c r="Z141" s="4"/>
      <c r="AB141" s="3"/>
    </row>
    <row r="142" spans="6:28" s="2" customFormat="1" x14ac:dyDescent="0.25">
      <c r="F142" s="4"/>
      <c r="H142" s="3"/>
      <c r="J142" s="4"/>
      <c r="L142" s="3"/>
      <c r="N142" s="4"/>
      <c r="P142" s="3"/>
      <c r="R142" s="4"/>
      <c r="T142" s="3"/>
      <c r="V142" s="4"/>
      <c r="X142" s="3"/>
      <c r="Z142" s="4"/>
      <c r="AB142" s="3"/>
    </row>
    <row r="143" spans="6:28" s="2" customFormat="1" x14ac:dyDescent="0.25">
      <c r="F143" s="4"/>
      <c r="H143" s="3"/>
      <c r="J143" s="4"/>
      <c r="L143" s="3"/>
      <c r="N143" s="4"/>
      <c r="P143" s="3"/>
      <c r="R143" s="4"/>
      <c r="T143" s="3"/>
      <c r="V143" s="4"/>
      <c r="X143" s="3"/>
      <c r="Z143" s="4"/>
      <c r="AB143" s="3"/>
    </row>
    <row r="144" spans="6:28" s="2" customFormat="1" x14ac:dyDescent="0.25">
      <c r="F144" s="4"/>
      <c r="H144" s="3"/>
      <c r="J144" s="4"/>
      <c r="L144" s="3"/>
      <c r="N144" s="4"/>
      <c r="P144" s="3"/>
      <c r="R144" s="4"/>
      <c r="T144" s="3"/>
      <c r="V144" s="4"/>
      <c r="X144" s="3"/>
      <c r="Z144" s="4"/>
      <c r="AB144" s="3"/>
    </row>
    <row r="145" spans="6:28" s="2" customFormat="1" x14ac:dyDescent="0.25">
      <c r="F145" s="4"/>
      <c r="H145" s="3"/>
      <c r="J145" s="4"/>
      <c r="L145" s="3"/>
      <c r="N145" s="4"/>
      <c r="P145" s="3"/>
      <c r="R145" s="4"/>
      <c r="T145" s="3"/>
      <c r="V145" s="4"/>
      <c r="X145" s="3"/>
      <c r="Z145" s="4"/>
      <c r="AB145" s="3"/>
    </row>
    <row r="146" spans="6:28" s="2" customFormat="1" x14ac:dyDescent="0.25">
      <c r="F146" s="4"/>
      <c r="H146" s="3"/>
      <c r="J146" s="4"/>
      <c r="L146" s="3"/>
      <c r="N146" s="4"/>
      <c r="P146" s="3"/>
      <c r="R146" s="4"/>
      <c r="T146" s="3"/>
      <c r="V146" s="4"/>
      <c r="X146" s="3"/>
      <c r="Z146" s="4"/>
      <c r="AB146" s="3"/>
    </row>
    <row r="147" spans="6:28" s="2" customFormat="1" x14ac:dyDescent="0.25">
      <c r="F147" s="4"/>
      <c r="H147" s="3"/>
      <c r="J147" s="4"/>
      <c r="L147" s="3"/>
      <c r="N147" s="4"/>
      <c r="P147" s="3"/>
      <c r="R147" s="4"/>
      <c r="T147" s="3"/>
      <c r="V147" s="4"/>
      <c r="X147" s="3"/>
      <c r="Z147" s="4"/>
      <c r="AB147" s="3"/>
    </row>
    <row r="148" spans="6:28" s="2" customFormat="1" x14ac:dyDescent="0.25">
      <c r="F148" s="4"/>
      <c r="H148" s="3"/>
      <c r="J148" s="4"/>
      <c r="L148" s="3"/>
      <c r="N148" s="4"/>
      <c r="P148" s="3"/>
      <c r="R148" s="4"/>
      <c r="T148" s="3"/>
      <c r="V148" s="4"/>
      <c r="X148" s="3"/>
      <c r="Z148" s="4"/>
      <c r="AB148" s="3"/>
    </row>
    <row r="149" spans="6:28" s="2" customFormat="1" x14ac:dyDescent="0.25">
      <c r="F149" s="4"/>
      <c r="H149" s="3"/>
      <c r="J149" s="4"/>
      <c r="L149" s="3"/>
      <c r="N149" s="4"/>
      <c r="P149" s="3"/>
      <c r="R149" s="4"/>
      <c r="T149" s="3"/>
      <c r="V149" s="4"/>
      <c r="X149" s="3"/>
      <c r="Z149" s="4"/>
      <c r="AB149" s="3"/>
    </row>
    <row r="150" spans="6:28" s="2" customFormat="1" x14ac:dyDescent="0.25">
      <c r="F150" s="4"/>
      <c r="H150" s="3"/>
      <c r="J150" s="4"/>
      <c r="L150" s="3"/>
      <c r="N150" s="4"/>
      <c r="P150" s="3"/>
      <c r="R150" s="4"/>
      <c r="T150" s="3"/>
      <c r="V150" s="4"/>
      <c r="X150" s="3"/>
      <c r="Z150" s="4"/>
      <c r="AB150" s="3"/>
    </row>
    <row r="151" spans="6:28" s="2" customFormat="1" x14ac:dyDescent="0.25">
      <c r="F151" s="4"/>
      <c r="H151" s="3"/>
      <c r="J151" s="4"/>
      <c r="L151" s="3"/>
      <c r="N151" s="4"/>
      <c r="P151" s="3"/>
      <c r="R151" s="4"/>
      <c r="T151" s="3"/>
      <c r="V151" s="4"/>
      <c r="X151" s="3"/>
      <c r="Z151" s="4"/>
      <c r="AB151" s="3"/>
    </row>
    <row r="152" spans="6:28" s="2" customFormat="1" x14ac:dyDescent="0.25">
      <c r="F152" s="4"/>
      <c r="H152" s="3"/>
      <c r="J152" s="4"/>
      <c r="L152" s="3"/>
      <c r="N152" s="4"/>
      <c r="P152" s="3"/>
      <c r="R152" s="4"/>
      <c r="T152" s="3"/>
      <c r="V152" s="4"/>
      <c r="X152" s="3"/>
      <c r="Z152" s="4"/>
      <c r="AB152" s="3"/>
    </row>
    <row r="153" spans="6:28" s="2" customFormat="1" x14ac:dyDescent="0.25">
      <c r="F153" s="4"/>
      <c r="H153" s="3"/>
      <c r="J153" s="4"/>
      <c r="L153" s="3"/>
      <c r="N153" s="4"/>
      <c r="P153" s="3"/>
      <c r="R153" s="4"/>
      <c r="T153" s="3"/>
      <c r="V153" s="4"/>
      <c r="X153" s="3"/>
      <c r="Z153" s="4"/>
      <c r="AB153" s="3"/>
    </row>
    <row r="154" spans="6:28" s="2" customFormat="1" x14ac:dyDescent="0.25">
      <c r="F154" s="4"/>
      <c r="H154" s="3"/>
      <c r="J154" s="4"/>
      <c r="L154" s="3"/>
      <c r="N154" s="4"/>
      <c r="P154" s="3"/>
      <c r="R154" s="4"/>
      <c r="T154" s="3"/>
      <c r="V154" s="4"/>
      <c r="X154" s="3"/>
      <c r="Z154" s="4"/>
      <c r="AB154" s="3"/>
    </row>
    <row r="155" spans="6:28" s="2" customFormat="1" x14ac:dyDescent="0.25">
      <c r="F155" s="4"/>
      <c r="H155" s="3"/>
      <c r="J155" s="4"/>
      <c r="L155" s="3"/>
      <c r="N155" s="4"/>
      <c r="P155" s="3"/>
      <c r="R155" s="4"/>
      <c r="T155" s="3"/>
      <c r="V155" s="4"/>
      <c r="X155" s="3"/>
      <c r="Z155" s="4"/>
      <c r="AB155" s="3"/>
    </row>
    <row r="156" spans="6:28" s="2" customFormat="1" x14ac:dyDescent="0.25">
      <c r="F156" s="4"/>
      <c r="H156" s="3"/>
      <c r="J156" s="4"/>
      <c r="L156" s="3"/>
      <c r="N156" s="4"/>
      <c r="P156" s="3"/>
      <c r="R156" s="4"/>
      <c r="T156" s="3"/>
      <c r="V156" s="4"/>
      <c r="X156" s="3"/>
      <c r="Z156" s="4"/>
      <c r="AB156" s="3"/>
    </row>
    <row r="157" spans="6:28" s="2" customFormat="1" x14ac:dyDescent="0.25">
      <c r="F157" s="4"/>
      <c r="H157" s="3"/>
      <c r="J157" s="4"/>
      <c r="L157" s="3"/>
      <c r="N157" s="4"/>
      <c r="P157" s="3"/>
      <c r="R157" s="4"/>
      <c r="T157" s="3"/>
      <c r="V157" s="4"/>
      <c r="X157" s="3"/>
      <c r="Z157" s="4"/>
      <c r="AB157" s="3"/>
    </row>
    <row r="158" spans="6:28" s="2" customFormat="1" x14ac:dyDescent="0.25">
      <c r="F158" s="4"/>
      <c r="H158" s="3"/>
      <c r="J158" s="4"/>
      <c r="L158" s="3"/>
      <c r="N158" s="4"/>
      <c r="P158" s="3"/>
      <c r="R158" s="4"/>
      <c r="T158" s="3"/>
      <c r="V158" s="4"/>
      <c r="X158" s="3"/>
      <c r="Z158" s="4"/>
      <c r="AB158" s="3"/>
    </row>
    <row r="159" spans="6:28" s="2" customFormat="1" x14ac:dyDescent="0.25">
      <c r="F159" s="4"/>
      <c r="H159" s="3"/>
      <c r="J159" s="4"/>
      <c r="L159" s="3"/>
      <c r="N159" s="4"/>
      <c r="P159" s="3"/>
      <c r="R159" s="4"/>
      <c r="T159" s="3"/>
      <c r="V159" s="4"/>
      <c r="X159" s="3"/>
      <c r="Z159" s="4"/>
      <c r="AB159" s="3"/>
    </row>
    <row r="160" spans="6:28" s="2" customFormat="1" x14ac:dyDescent="0.25">
      <c r="F160" s="4"/>
      <c r="H160" s="3"/>
      <c r="J160" s="4"/>
      <c r="L160" s="3"/>
      <c r="N160" s="4"/>
      <c r="P160" s="3"/>
      <c r="R160" s="4"/>
      <c r="T160" s="3"/>
      <c r="V160" s="4"/>
      <c r="X160" s="3"/>
      <c r="Z160" s="4"/>
      <c r="AB160" s="3"/>
    </row>
    <row r="161" spans="6:28" s="2" customFormat="1" x14ac:dyDescent="0.25">
      <c r="F161" s="4"/>
      <c r="H161" s="3"/>
      <c r="J161" s="4"/>
      <c r="L161" s="3"/>
      <c r="N161" s="4"/>
      <c r="P161" s="3"/>
      <c r="R161" s="4"/>
      <c r="T161" s="3"/>
      <c r="V161" s="4"/>
      <c r="X161" s="3"/>
      <c r="Z161" s="4"/>
      <c r="AB161" s="3"/>
    </row>
    <row r="162" spans="6:28" s="2" customFormat="1" x14ac:dyDescent="0.25">
      <c r="F162" s="4"/>
      <c r="H162" s="3"/>
      <c r="J162" s="4"/>
      <c r="L162" s="3"/>
      <c r="N162" s="4"/>
      <c r="P162" s="3"/>
      <c r="R162" s="4"/>
      <c r="T162" s="3"/>
      <c r="V162" s="4"/>
      <c r="X162" s="3"/>
      <c r="Z162" s="4"/>
      <c r="AB162" s="3"/>
    </row>
    <row r="163" spans="6:28" s="2" customFormat="1" x14ac:dyDescent="0.25">
      <c r="F163" s="4"/>
      <c r="H163" s="3"/>
      <c r="J163" s="4"/>
      <c r="L163" s="3"/>
      <c r="N163" s="4"/>
      <c r="P163" s="3"/>
      <c r="R163" s="4"/>
      <c r="T163" s="3"/>
      <c r="V163" s="4"/>
      <c r="X163" s="3"/>
      <c r="Z163" s="4"/>
      <c r="AB163" s="3"/>
    </row>
    <row r="164" spans="6:28" s="2" customFormat="1" x14ac:dyDescent="0.25">
      <c r="F164" s="4"/>
      <c r="H164" s="3"/>
      <c r="J164" s="4"/>
      <c r="L164" s="3"/>
      <c r="N164" s="4"/>
      <c r="P164" s="3"/>
      <c r="R164" s="4"/>
      <c r="T164" s="3"/>
      <c r="V164" s="4"/>
      <c r="X164" s="3"/>
      <c r="Z164" s="4"/>
      <c r="AB164" s="3"/>
    </row>
    <row r="165" spans="6:28" s="2" customFormat="1" x14ac:dyDescent="0.25">
      <c r="F165" s="4"/>
      <c r="H165" s="3"/>
      <c r="J165" s="4"/>
      <c r="L165" s="3"/>
      <c r="N165" s="4"/>
      <c r="P165" s="3"/>
      <c r="R165" s="4"/>
      <c r="T165" s="3"/>
      <c r="V165" s="4"/>
      <c r="X165" s="3"/>
      <c r="Z165" s="4"/>
      <c r="AB165" s="3"/>
    </row>
    <row r="166" spans="6:28" s="2" customFormat="1" x14ac:dyDescent="0.25">
      <c r="F166" s="4"/>
      <c r="H166" s="3"/>
      <c r="J166" s="4"/>
      <c r="L166" s="3"/>
      <c r="N166" s="4"/>
      <c r="P166" s="3"/>
      <c r="R166" s="4"/>
      <c r="T166" s="3"/>
      <c r="V166" s="4"/>
      <c r="X166" s="3"/>
      <c r="Z166" s="4"/>
      <c r="AB166" s="3"/>
    </row>
    <row r="167" spans="6:28" s="2" customFormat="1" x14ac:dyDescent="0.25">
      <c r="F167" s="4"/>
      <c r="H167" s="3"/>
      <c r="J167" s="4"/>
      <c r="L167" s="3"/>
      <c r="N167" s="4"/>
      <c r="P167" s="3"/>
      <c r="R167" s="4"/>
      <c r="T167" s="3"/>
      <c r="V167" s="4"/>
      <c r="X167" s="3"/>
      <c r="Z167" s="4"/>
      <c r="AB167" s="3"/>
    </row>
    <row r="168" spans="6:28" s="2" customFormat="1" x14ac:dyDescent="0.25">
      <c r="F168" s="4"/>
      <c r="H168" s="3"/>
      <c r="J168" s="4"/>
      <c r="L168" s="3"/>
      <c r="N168" s="4"/>
      <c r="P168" s="3"/>
      <c r="R168" s="4"/>
      <c r="T168" s="3"/>
      <c r="V168" s="4"/>
      <c r="X168" s="3"/>
      <c r="Z168" s="4"/>
      <c r="AB168" s="3"/>
    </row>
    <row r="169" spans="6:28" s="2" customFormat="1" x14ac:dyDescent="0.25">
      <c r="F169" s="4"/>
      <c r="H169" s="3"/>
      <c r="J169" s="4"/>
      <c r="L169" s="3"/>
      <c r="N169" s="4"/>
      <c r="P169" s="3"/>
      <c r="R169" s="4"/>
      <c r="T169" s="3"/>
      <c r="V169" s="4"/>
      <c r="X169" s="3"/>
      <c r="Z169" s="4"/>
      <c r="AB169" s="3"/>
    </row>
    <row r="170" spans="6:28" s="2" customFormat="1" x14ac:dyDescent="0.25">
      <c r="F170" s="4"/>
      <c r="H170" s="3"/>
      <c r="J170" s="4"/>
      <c r="L170" s="3"/>
      <c r="N170" s="4"/>
      <c r="P170" s="3"/>
      <c r="R170" s="4"/>
      <c r="T170" s="3"/>
      <c r="V170" s="4"/>
      <c r="X170" s="3"/>
      <c r="Z170" s="4"/>
      <c r="AB170" s="3"/>
    </row>
    <row r="171" spans="6:28" s="2" customFormat="1" x14ac:dyDescent="0.25">
      <c r="F171" s="4"/>
      <c r="H171" s="3"/>
      <c r="J171" s="4"/>
      <c r="L171" s="3"/>
      <c r="N171" s="4"/>
      <c r="P171" s="3"/>
      <c r="R171" s="4"/>
      <c r="T171" s="3"/>
      <c r="V171" s="4"/>
      <c r="X171" s="3"/>
      <c r="Z171" s="4"/>
      <c r="AB171" s="3"/>
    </row>
    <row r="172" spans="6:28" s="2" customFormat="1" x14ac:dyDescent="0.25">
      <c r="F172" s="4"/>
      <c r="H172" s="3"/>
      <c r="J172" s="4"/>
      <c r="L172" s="3"/>
      <c r="N172" s="4"/>
      <c r="P172" s="3"/>
      <c r="R172" s="4"/>
      <c r="T172" s="3"/>
      <c r="V172" s="4"/>
      <c r="X172" s="3"/>
      <c r="Z172" s="4"/>
      <c r="AB172" s="3"/>
    </row>
    <row r="173" spans="6:28" s="2" customFormat="1" x14ac:dyDescent="0.25">
      <c r="F173" s="4"/>
      <c r="H173" s="3"/>
      <c r="J173" s="4"/>
      <c r="L173" s="3"/>
      <c r="N173" s="4"/>
      <c r="P173" s="3"/>
      <c r="R173" s="4"/>
      <c r="T173" s="3"/>
      <c r="V173" s="4"/>
      <c r="X173" s="3"/>
      <c r="Z173" s="4"/>
      <c r="AB173" s="3"/>
    </row>
    <row r="174" spans="6:28" s="2" customFormat="1" x14ac:dyDescent="0.25">
      <c r="F174" s="4"/>
      <c r="H174" s="3"/>
      <c r="J174" s="4"/>
      <c r="L174" s="3"/>
      <c r="N174" s="4"/>
      <c r="P174" s="3"/>
      <c r="R174" s="4"/>
      <c r="T174" s="3"/>
      <c r="V174" s="4"/>
      <c r="X174" s="3"/>
      <c r="Z174" s="4"/>
      <c r="AB174" s="3"/>
    </row>
    <row r="175" spans="6:28" s="2" customFormat="1" x14ac:dyDescent="0.25">
      <c r="F175" s="4"/>
      <c r="H175" s="3"/>
      <c r="J175" s="4"/>
      <c r="L175" s="3"/>
      <c r="N175" s="4"/>
      <c r="P175" s="3"/>
      <c r="R175" s="4"/>
      <c r="T175" s="3"/>
      <c r="V175" s="4"/>
      <c r="X175" s="3"/>
      <c r="Z175" s="4"/>
      <c r="AB175" s="3"/>
    </row>
    <row r="176" spans="6:28" s="2" customFormat="1" x14ac:dyDescent="0.25">
      <c r="F176" s="4"/>
      <c r="H176" s="3"/>
      <c r="J176" s="4"/>
      <c r="L176" s="3"/>
      <c r="N176" s="4"/>
      <c r="P176" s="3"/>
      <c r="R176" s="4"/>
      <c r="T176" s="3"/>
      <c r="V176" s="4"/>
      <c r="X176" s="3"/>
      <c r="Z176" s="4"/>
      <c r="AB176" s="3"/>
    </row>
    <row r="177" spans="6:28" s="2" customFormat="1" x14ac:dyDescent="0.25">
      <c r="F177" s="4"/>
      <c r="H177" s="3"/>
      <c r="J177" s="4"/>
      <c r="L177" s="3"/>
      <c r="N177" s="4"/>
      <c r="P177" s="3"/>
      <c r="R177" s="4"/>
      <c r="T177" s="3"/>
      <c r="V177" s="4"/>
      <c r="X177" s="3"/>
      <c r="Z177" s="4"/>
      <c r="AB177" s="3"/>
    </row>
    <row r="178" spans="6:28" s="2" customFormat="1" x14ac:dyDescent="0.25">
      <c r="F178" s="4"/>
      <c r="H178" s="3"/>
      <c r="J178" s="4"/>
      <c r="L178" s="3"/>
      <c r="N178" s="4"/>
      <c r="P178" s="3"/>
      <c r="R178" s="4"/>
      <c r="T178" s="3"/>
      <c r="V178" s="4"/>
      <c r="X178" s="3"/>
      <c r="Z178" s="4"/>
      <c r="AB178" s="3"/>
    </row>
    <row r="179" spans="6:28" s="2" customFormat="1" x14ac:dyDescent="0.25">
      <c r="F179" s="4"/>
      <c r="H179" s="3"/>
      <c r="J179" s="4"/>
      <c r="L179" s="3"/>
      <c r="N179" s="4"/>
      <c r="P179" s="3"/>
      <c r="R179" s="4"/>
      <c r="T179" s="3"/>
      <c r="V179" s="4"/>
      <c r="X179" s="3"/>
      <c r="Z179" s="4"/>
      <c r="AB179" s="3"/>
    </row>
    <row r="180" spans="6:28" s="2" customFormat="1" x14ac:dyDescent="0.25">
      <c r="F180" s="4"/>
      <c r="H180" s="3"/>
      <c r="J180" s="4"/>
      <c r="L180" s="3"/>
      <c r="N180" s="4"/>
      <c r="P180" s="3"/>
      <c r="R180" s="4"/>
      <c r="T180" s="3"/>
      <c r="V180" s="4"/>
      <c r="X180" s="3"/>
      <c r="Z180" s="4"/>
      <c r="AB180" s="3"/>
    </row>
    <row r="181" spans="6:28" s="2" customFormat="1" x14ac:dyDescent="0.25">
      <c r="F181" s="4"/>
      <c r="H181" s="3"/>
      <c r="J181" s="4"/>
      <c r="L181" s="3"/>
      <c r="N181" s="4"/>
      <c r="P181" s="3"/>
      <c r="R181" s="4"/>
      <c r="T181" s="3"/>
      <c r="V181" s="4"/>
      <c r="X181" s="3"/>
      <c r="Z181" s="4"/>
      <c r="AB181" s="3"/>
    </row>
    <row r="182" spans="6:28" s="2" customFormat="1" x14ac:dyDescent="0.25">
      <c r="F182" s="4"/>
      <c r="H182" s="3"/>
      <c r="J182" s="4"/>
      <c r="L182" s="3"/>
      <c r="N182" s="4"/>
      <c r="P182" s="3"/>
      <c r="R182" s="4"/>
      <c r="T182" s="3"/>
      <c r="V182" s="4"/>
      <c r="X182" s="3"/>
      <c r="Z182" s="4"/>
      <c r="AB182" s="3"/>
    </row>
    <row r="183" spans="6:28" s="2" customFormat="1" x14ac:dyDescent="0.25">
      <c r="F183" s="4"/>
      <c r="H183" s="3"/>
      <c r="J183" s="4"/>
      <c r="L183" s="3"/>
      <c r="N183" s="4"/>
      <c r="P183" s="3"/>
      <c r="R183" s="4"/>
      <c r="T183" s="3"/>
      <c r="V183" s="4"/>
      <c r="X183" s="3"/>
      <c r="Z183" s="4"/>
      <c r="AB183" s="3"/>
    </row>
    <row r="184" spans="6:28" s="2" customFormat="1" x14ac:dyDescent="0.25">
      <c r="F184" s="4"/>
      <c r="H184" s="3"/>
      <c r="J184" s="4"/>
      <c r="L184" s="3"/>
      <c r="N184" s="4"/>
      <c r="P184" s="3"/>
      <c r="R184" s="4"/>
      <c r="T184" s="3"/>
      <c r="V184" s="4"/>
      <c r="X184" s="3"/>
      <c r="Z184" s="4"/>
      <c r="AB184" s="3"/>
    </row>
    <row r="185" spans="6:28" s="2" customFormat="1" x14ac:dyDescent="0.25">
      <c r="F185" s="4"/>
      <c r="H185" s="3"/>
      <c r="J185" s="4"/>
      <c r="L185" s="3"/>
      <c r="N185" s="4"/>
      <c r="P185" s="3"/>
      <c r="R185" s="4"/>
      <c r="T185" s="3"/>
      <c r="V185" s="4"/>
      <c r="X185" s="3"/>
      <c r="Z185" s="4"/>
      <c r="AB185" s="3"/>
    </row>
    <row r="186" spans="6:28" s="2" customFormat="1" x14ac:dyDescent="0.25">
      <c r="F186" s="4"/>
      <c r="H186" s="3"/>
      <c r="J186" s="4"/>
      <c r="L186" s="3"/>
      <c r="N186" s="4"/>
      <c r="P186" s="3"/>
      <c r="R186" s="4"/>
      <c r="T186" s="3"/>
      <c r="V186" s="4"/>
      <c r="X186" s="3"/>
      <c r="Z186" s="4"/>
      <c r="AB186" s="3"/>
    </row>
    <row r="187" spans="6:28" s="2" customFormat="1" x14ac:dyDescent="0.25">
      <c r="F187" s="4"/>
      <c r="H187" s="3"/>
      <c r="J187" s="4"/>
      <c r="L187" s="3"/>
      <c r="N187" s="4"/>
      <c r="P187" s="3"/>
      <c r="R187" s="4"/>
      <c r="T187" s="3"/>
      <c r="V187" s="4"/>
      <c r="X187" s="3"/>
      <c r="Z187" s="4"/>
      <c r="AB187" s="3"/>
    </row>
    <row r="188" spans="6:28" s="2" customFormat="1" x14ac:dyDescent="0.25">
      <c r="F188" s="4"/>
      <c r="H188" s="3"/>
      <c r="J188" s="4"/>
      <c r="L188" s="3"/>
      <c r="N188" s="4"/>
      <c r="P188" s="3"/>
      <c r="R188" s="4"/>
      <c r="T188" s="3"/>
      <c r="V188" s="4"/>
      <c r="X188" s="3"/>
      <c r="Z188" s="4"/>
      <c r="AB188" s="3"/>
    </row>
    <row r="189" spans="6:28" s="2" customFormat="1" x14ac:dyDescent="0.25">
      <c r="F189" s="4"/>
      <c r="H189" s="3"/>
      <c r="J189" s="4"/>
      <c r="L189" s="3"/>
      <c r="N189" s="4"/>
      <c r="P189" s="3"/>
      <c r="R189" s="4"/>
      <c r="T189" s="3"/>
      <c r="V189" s="4"/>
      <c r="X189" s="3"/>
      <c r="Z189" s="4"/>
      <c r="AB189" s="3"/>
    </row>
    <row r="190" spans="6:28" s="2" customFormat="1" x14ac:dyDescent="0.25">
      <c r="F190" s="4"/>
      <c r="H190" s="3"/>
      <c r="J190" s="4"/>
      <c r="L190" s="3"/>
      <c r="N190" s="4"/>
      <c r="P190" s="3"/>
      <c r="R190" s="4"/>
      <c r="T190" s="3"/>
      <c r="V190" s="4"/>
      <c r="X190" s="3"/>
      <c r="Z190" s="4"/>
      <c r="AB190" s="3"/>
    </row>
    <row r="191" spans="6:28" s="2" customFormat="1" x14ac:dyDescent="0.25">
      <c r="F191" s="4"/>
      <c r="H191" s="3"/>
      <c r="J191" s="4"/>
      <c r="L191" s="3"/>
      <c r="N191" s="4"/>
      <c r="P191" s="3"/>
      <c r="R191" s="4"/>
      <c r="T191" s="3"/>
      <c r="V191" s="4"/>
      <c r="X191" s="3"/>
      <c r="Z191" s="4"/>
      <c r="AB191" s="3"/>
    </row>
    <row r="192" spans="6:28" s="2" customFormat="1" x14ac:dyDescent="0.25">
      <c r="F192" s="4"/>
      <c r="H192" s="3"/>
      <c r="J192" s="4"/>
      <c r="L192" s="3"/>
      <c r="N192" s="4"/>
      <c r="P192" s="3"/>
      <c r="R192" s="4"/>
      <c r="T192" s="3"/>
      <c r="V192" s="4"/>
      <c r="X192" s="3"/>
      <c r="Z192" s="4"/>
      <c r="AB192" s="3"/>
    </row>
    <row r="193" spans="6:28" s="2" customFormat="1" x14ac:dyDescent="0.25">
      <c r="F193" s="4"/>
      <c r="H193" s="3"/>
      <c r="J193" s="4"/>
      <c r="L193" s="3"/>
      <c r="N193" s="4"/>
      <c r="P193" s="3"/>
      <c r="R193" s="4"/>
      <c r="T193" s="3"/>
      <c r="V193" s="4"/>
      <c r="X193" s="3"/>
      <c r="Z193" s="4"/>
      <c r="AB193" s="3"/>
    </row>
    <row r="194" spans="6:28" s="2" customFormat="1" x14ac:dyDescent="0.25">
      <c r="F194" s="4"/>
      <c r="H194" s="3"/>
      <c r="J194" s="4"/>
      <c r="L194" s="3"/>
      <c r="N194" s="4"/>
      <c r="P194" s="3"/>
      <c r="R194" s="4"/>
      <c r="T194" s="3"/>
      <c r="V194" s="4"/>
      <c r="X194" s="3"/>
      <c r="Z194" s="4"/>
      <c r="AB194" s="3"/>
    </row>
    <row r="195" spans="6:28" s="2" customFormat="1" x14ac:dyDescent="0.25">
      <c r="F195" s="4"/>
      <c r="H195" s="3"/>
      <c r="J195" s="4"/>
      <c r="L195" s="3"/>
      <c r="N195" s="4"/>
      <c r="P195" s="3"/>
      <c r="R195" s="4"/>
      <c r="T195" s="3"/>
      <c r="V195" s="4"/>
      <c r="X195" s="3"/>
      <c r="Z195" s="4"/>
      <c r="AB195" s="3"/>
    </row>
    <row r="196" spans="6:28" s="2" customFormat="1" x14ac:dyDescent="0.25">
      <c r="F196" s="4"/>
      <c r="H196" s="3"/>
      <c r="J196" s="4"/>
      <c r="L196" s="3"/>
      <c r="N196" s="4"/>
      <c r="P196" s="3"/>
      <c r="R196" s="4"/>
      <c r="T196" s="3"/>
      <c r="V196" s="4"/>
      <c r="X196" s="3"/>
      <c r="Z196" s="4"/>
      <c r="AB196" s="3"/>
    </row>
    <row r="197" spans="6:28" s="2" customFormat="1" x14ac:dyDescent="0.25">
      <c r="F197" s="4"/>
      <c r="H197" s="3"/>
      <c r="J197" s="4"/>
      <c r="L197" s="3"/>
      <c r="N197" s="4"/>
      <c r="P197" s="3"/>
      <c r="R197" s="4"/>
      <c r="T197" s="3"/>
      <c r="V197" s="4"/>
      <c r="X197" s="3"/>
      <c r="Z197" s="4"/>
      <c r="AB197" s="3"/>
    </row>
    <row r="198" spans="6:28" s="2" customFormat="1" x14ac:dyDescent="0.25">
      <c r="F198" s="4"/>
      <c r="H198" s="3"/>
      <c r="J198" s="4"/>
      <c r="L198" s="3"/>
      <c r="N198" s="4"/>
      <c r="P198" s="3"/>
      <c r="R198" s="4"/>
      <c r="T198" s="3"/>
      <c r="V198" s="4"/>
      <c r="X198" s="3"/>
      <c r="Z198" s="4"/>
      <c r="AB198" s="3"/>
    </row>
    <row r="199" spans="6:28" s="2" customFormat="1" x14ac:dyDescent="0.25">
      <c r="F199" s="4"/>
      <c r="H199" s="3"/>
      <c r="J199" s="4"/>
      <c r="L199" s="3"/>
      <c r="N199" s="4"/>
      <c r="P199" s="3"/>
      <c r="R199" s="4"/>
      <c r="T199" s="3"/>
      <c r="V199" s="4"/>
      <c r="X199" s="3"/>
      <c r="Z199" s="4"/>
      <c r="AB199" s="3"/>
    </row>
    <row r="200" spans="6:28" s="2" customFormat="1" x14ac:dyDescent="0.25">
      <c r="F200" s="4"/>
      <c r="H200" s="3"/>
      <c r="J200" s="4"/>
      <c r="L200" s="3"/>
      <c r="N200" s="4"/>
      <c r="P200" s="3"/>
      <c r="R200" s="4"/>
      <c r="T200" s="3"/>
      <c r="V200" s="4"/>
      <c r="X200" s="3"/>
      <c r="Z200" s="4"/>
      <c r="AB200" s="3"/>
    </row>
    <row r="201" spans="6:28" s="2" customFormat="1" x14ac:dyDescent="0.25">
      <c r="F201" s="4"/>
      <c r="H201" s="3"/>
      <c r="J201" s="4"/>
      <c r="L201" s="3"/>
      <c r="N201" s="4"/>
      <c r="P201" s="3"/>
      <c r="R201" s="4"/>
      <c r="T201" s="3"/>
      <c r="V201" s="4"/>
      <c r="X201" s="3"/>
      <c r="Z201" s="4"/>
      <c r="AB201" s="3"/>
    </row>
    <row r="202" spans="6:28" s="2" customFormat="1" x14ac:dyDescent="0.25">
      <c r="F202" s="4"/>
      <c r="H202" s="3"/>
      <c r="J202" s="4"/>
      <c r="L202" s="3"/>
      <c r="N202" s="4"/>
      <c r="P202" s="3"/>
      <c r="R202" s="4"/>
      <c r="T202" s="3"/>
      <c r="V202" s="4"/>
      <c r="X202" s="3"/>
      <c r="Z202" s="4"/>
      <c r="AB202" s="3"/>
    </row>
    <row r="203" spans="6:28" s="2" customFormat="1" x14ac:dyDescent="0.25">
      <c r="F203" s="4"/>
      <c r="H203" s="3"/>
      <c r="J203" s="4"/>
      <c r="L203" s="3"/>
      <c r="N203" s="4"/>
      <c r="P203" s="3"/>
      <c r="R203" s="4"/>
      <c r="T203" s="3"/>
      <c r="V203" s="4"/>
      <c r="X203" s="3"/>
      <c r="Z203" s="4"/>
      <c r="AB203" s="3"/>
    </row>
    <row r="204" spans="6:28" s="2" customFormat="1" x14ac:dyDescent="0.25">
      <c r="F204" s="4"/>
      <c r="H204" s="3"/>
      <c r="J204" s="4"/>
      <c r="L204" s="3"/>
      <c r="N204" s="4"/>
      <c r="P204" s="3"/>
      <c r="R204" s="4"/>
      <c r="T204" s="3"/>
      <c r="V204" s="4"/>
      <c r="X204" s="3"/>
      <c r="Z204" s="4"/>
      <c r="AB204" s="3"/>
    </row>
    <row r="205" spans="6:28" s="2" customFormat="1" x14ac:dyDescent="0.25">
      <c r="F205" s="4"/>
      <c r="H205" s="3"/>
      <c r="J205" s="4"/>
      <c r="L205" s="3"/>
      <c r="N205" s="4"/>
      <c r="P205" s="3"/>
      <c r="R205" s="4"/>
      <c r="T205" s="3"/>
      <c r="V205" s="4"/>
      <c r="X205" s="3"/>
      <c r="Z205" s="4"/>
      <c r="AB205" s="3"/>
    </row>
    <row r="206" spans="6:28" s="2" customFormat="1" x14ac:dyDescent="0.25">
      <c r="F206" s="4"/>
      <c r="H206" s="3"/>
      <c r="J206" s="4"/>
      <c r="L206" s="3"/>
      <c r="N206" s="4"/>
      <c r="P206" s="3"/>
      <c r="R206" s="4"/>
      <c r="T206" s="3"/>
      <c r="V206" s="4"/>
      <c r="X206" s="3"/>
      <c r="Z206" s="4"/>
      <c r="AB206" s="3"/>
    </row>
    <row r="207" spans="6:28" s="2" customFormat="1" x14ac:dyDescent="0.25">
      <c r="F207" s="4"/>
      <c r="H207" s="3"/>
      <c r="J207" s="4"/>
      <c r="L207" s="3"/>
      <c r="N207" s="4"/>
      <c r="P207" s="3"/>
      <c r="R207" s="4"/>
      <c r="T207" s="3"/>
      <c r="V207" s="4"/>
      <c r="X207" s="3"/>
      <c r="Z207" s="4"/>
      <c r="AB207" s="3"/>
    </row>
    <row r="208" spans="6:28" s="2" customFormat="1" x14ac:dyDescent="0.25">
      <c r="F208" s="4"/>
      <c r="H208" s="3"/>
      <c r="J208" s="4"/>
      <c r="L208" s="3"/>
      <c r="N208" s="4"/>
      <c r="P208" s="3"/>
      <c r="R208" s="4"/>
      <c r="T208" s="3"/>
      <c r="V208" s="4"/>
      <c r="X208" s="3"/>
      <c r="Z208" s="4"/>
      <c r="AB208" s="3"/>
    </row>
    <row r="209" spans="6:28" s="2" customFormat="1" x14ac:dyDescent="0.25">
      <c r="F209" s="4"/>
      <c r="H209" s="3"/>
      <c r="J209" s="4"/>
      <c r="L209" s="3"/>
      <c r="N209" s="4"/>
      <c r="P209" s="3"/>
      <c r="R209" s="4"/>
      <c r="T209" s="3"/>
      <c r="V209" s="4"/>
      <c r="X209" s="3"/>
      <c r="Z209" s="4"/>
      <c r="AB209" s="3"/>
    </row>
    <row r="210" spans="6:28" s="2" customFormat="1" x14ac:dyDescent="0.25">
      <c r="F210" s="4"/>
      <c r="H210" s="3"/>
      <c r="J210" s="4"/>
      <c r="L210" s="3"/>
      <c r="N210" s="4"/>
      <c r="P210" s="3"/>
      <c r="R210" s="4"/>
      <c r="T210" s="3"/>
      <c r="V210" s="4"/>
      <c r="X210" s="3"/>
      <c r="Z210" s="4"/>
      <c r="AB210" s="3"/>
    </row>
    <row r="211" spans="6:28" s="2" customFormat="1" x14ac:dyDescent="0.25">
      <c r="F211" s="4"/>
      <c r="H211" s="3"/>
      <c r="J211" s="4"/>
      <c r="L211" s="3"/>
      <c r="N211" s="4"/>
      <c r="P211" s="3"/>
      <c r="R211" s="4"/>
      <c r="T211" s="3"/>
      <c r="V211" s="4"/>
      <c r="X211" s="3"/>
      <c r="Z211" s="4"/>
      <c r="AB211" s="3"/>
    </row>
    <row r="212" spans="6:28" s="2" customFormat="1" x14ac:dyDescent="0.25">
      <c r="F212" s="4"/>
      <c r="H212" s="3"/>
      <c r="J212" s="4"/>
      <c r="L212" s="3"/>
      <c r="N212" s="4"/>
      <c r="P212" s="3"/>
      <c r="R212" s="4"/>
      <c r="T212" s="3"/>
      <c r="V212" s="4"/>
      <c r="X212" s="3"/>
      <c r="Z212" s="4"/>
      <c r="AB212" s="3"/>
    </row>
    <row r="213" spans="6:28" s="2" customFormat="1" x14ac:dyDescent="0.25">
      <c r="F213" s="4"/>
      <c r="H213" s="3"/>
      <c r="J213" s="4"/>
      <c r="L213" s="3"/>
      <c r="N213" s="4"/>
      <c r="P213" s="3"/>
      <c r="R213" s="4"/>
      <c r="T213" s="3"/>
      <c r="V213" s="4"/>
      <c r="X213" s="3"/>
      <c r="Z213" s="4"/>
      <c r="AB213" s="3"/>
    </row>
    <row r="214" spans="6:28" s="2" customFormat="1" x14ac:dyDescent="0.25">
      <c r="F214" s="4"/>
      <c r="H214" s="3"/>
      <c r="J214" s="4"/>
      <c r="L214" s="3"/>
      <c r="N214" s="4"/>
      <c r="P214" s="3"/>
      <c r="R214" s="4"/>
      <c r="T214" s="3"/>
      <c r="V214" s="4"/>
      <c r="X214" s="3"/>
      <c r="Z214" s="4"/>
      <c r="AB214" s="3"/>
    </row>
    <row r="215" spans="6:28" s="2" customFormat="1" x14ac:dyDescent="0.25">
      <c r="F215" s="4"/>
      <c r="H215" s="3"/>
      <c r="J215" s="4"/>
      <c r="L215" s="3"/>
      <c r="N215" s="4"/>
      <c r="P215" s="3"/>
      <c r="R215" s="4"/>
      <c r="T215" s="3"/>
      <c r="V215" s="4"/>
      <c r="X215" s="3"/>
      <c r="Z215" s="4"/>
      <c r="AB215" s="3"/>
    </row>
    <row r="216" spans="6:28" s="2" customFormat="1" x14ac:dyDescent="0.25">
      <c r="F216" s="4"/>
      <c r="H216" s="3"/>
      <c r="J216" s="4"/>
      <c r="L216" s="3"/>
      <c r="N216" s="4"/>
      <c r="P216" s="3"/>
      <c r="R216" s="4"/>
      <c r="T216" s="3"/>
      <c r="V216" s="4"/>
      <c r="X216" s="3"/>
      <c r="Z216" s="4"/>
      <c r="AB216" s="3"/>
    </row>
    <row r="217" spans="6:28" s="2" customFormat="1" x14ac:dyDescent="0.25">
      <c r="F217" s="4"/>
      <c r="H217" s="3"/>
      <c r="J217" s="4"/>
      <c r="L217" s="3"/>
      <c r="N217" s="4"/>
      <c r="P217" s="3"/>
      <c r="R217" s="4"/>
      <c r="T217" s="3"/>
      <c r="V217" s="4"/>
      <c r="X217" s="3"/>
      <c r="Z217" s="4"/>
      <c r="AB217" s="3"/>
    </row>
    <row r="218" spans="6:28" s="2" customFormat="1" x14ac:dyDescent="0.25">
      <c r="F218" s="4"/>
      <c r="H218" s="3"/>
      <c r="J218" s="4"/>
      <c r="L218" s="3"/>
      <c r="N218" s="4"/>
      <c r="P218" s="3"/>
      <c r="R218" s="4"/>
      <c r="T218" s="3"/>
      <c r="V218" s="4"/>
      <c r="X218" s="3"/>
      <c r="Z218" s="4"/>
      <c r="AB218" s="3"/>
    </row>
    <row r="219" spans="6:28" s="2" customFormat="1" x14ac:dyDescent="0.25">
      <c r="F219" s="4"/>
      <c r="H219" s="3"/>
      <c r="J219" s="4"/>
      <c r="L219" s="3"/>
      <c r="N219" s="4"/>
      <c r="P219" s="3"/>
      <c r="R219" s="4"/>
      <c r="T219" s="3"/>
      <c r="V219" s="4"/>
      <c r="X219" s="3"/>
      <c r="Z219" s="4"/>
      <c r="AB219" s="3"/>
    </row>
    <row r="220" spans="6:28" s="2" customFormat="1" x14ac:dyDescent="0.25">
      <c r="F220" s="4"/>
      <c r="H220" s="3"/>
      <c r="J220" s="4"/>
      <c r="L220" s="3"/>
      <c r="N220" s="4"/>
      <c r="P220" s="3"/>
      <c r="R220" s="4"/>
      <c r="T220" s="3"/>
      <c r="V220" s="4"/>
      <c r="X220" s="3"/>
      <c r="Z220" s="4"/>
      <c r="AB220" s="3"/>
    </row>
    <row r="221" spans="6:28" s="2" customFormat="1" x14ac:dyDescent="0.25">
      <c r="F221" s="4"/>
      <c r="H221" s="3"/>
      <c r="J221" s="4"/>
      <c r="L221" s="3"/>
      <c r="N221" s="4"/>
      <c r="P221" s="3"/>
      <c r="R221" s="4"/>
      <c r="T221" s="3"/>
      <c r="V221" s="4"/>
      <c r="X221" s="3"/>
      <c r="Z221" s="4"/>
      <c r="AB221" s="3"/>
    </row>
    <row r="222" spans="6:28" s="2" customFormat="1" x14ac:dyDescent="0.25">
      <c r="F222" s="4"/>
      <c r="H222" s="3"/>
      <c r="J222" s="4"/>
      <c r="L222" s="3"/>
      <c r="N222" s="4"/>
      <c r="P222" s="3"/>
      <c r="R222" s="4"/>
      <c r="T222" s="3"/>
      <c r="V222" s="4"/>
      <c r="X222" s="3"/>
      <c r="Z222" s="4"/>
      <c r="AB222" s="3"/>
    </row>
    <row r="223" spans="6:28" s="2" customFormat="1" x14ac:dyDescent="0.25">
      <c r="F223" s="4"/>
      <c r="H223" s="3"/>
      <c r="J223" s="4"/>
      <c r="L223" s="3"/>
      <c r="N223" s="4"/>
      <c r="P223" s="3"/>
      <c r="R223" s="4"/>
      <c r="T223" s="3"/>
      <c r="V223" s="4"/>
      <c r="X223" s="3"/>
      <c r="Z223" s="4"/>
      <c r="AB223" s="3"/>
    </row>
    <row r="224" spans="6:28" s="2" customFormat="1" x14ac:dyDescent="0.25">
      <c r="F224" s="4"/>
      <c r="H224" s="3"/>
      <c r="J224" s="4"/>
      <c r="L224" s="3"/>
      <c r="N224" s="4"/>
      <c r="P224" s="3"/>
      <c r="R224" s="4"/>
      <c r="T224" s="3"/>
      <c r="V224" s="4"/>
      <c r="X224" s="3"/>
      <c r="Z224" s="4"/>
      <c r="AB224" s="3"/>
    </row>
    <row r="225" spans="6:28" s="2" customFormat="1" x14ac:dyDescent="0.25">
      <c r="F225" s="4"/>
      <c r="H225" s="3"/>
      <c r="J225" s="4"/>
      <c r="L225" s="3"/>
      <c r="N225" s="4"/>
      <c r="P225" s="3"/>
      <c r="R225" s="4"/>
      <c r="T225" s="3"/>
      <c r="V225" s="4"/>
      <c r="X225" s="3"/>
      <c r="Z225" s="4"/>
      <c r="AB225" s="3"/>
    </row>
    <row r="226" spans="6:28" s="2" customFormat="1" x14ac:dyDescent="0.25">
      <c r="F226" s="4"/>
      <c r="H226" s="3"/>
      <c r="J226" s="4"/>
      <c r="L226" s="3"/>
      <c r="N226" s="4"/>
      <c r="P226" s="3"/>
      <c r="R226" s="4"/>
      <c r="T226" s="3"/>
      <c r="V226" s="4"/>
      <c r="X226" s="3"/>
      <c r="Z226" s="4"/>
      <c r="AB226" s="3"/>
    </row>
    <row r="227" spans="6:28" s="2" customFormat="1" x14ac:dyDescent="0.25">
      <c r="F227" s="4"/>
      <c r="H227" s="3"/>
      <c r="J227" s="4"/>
      <c r="L227" s="3"/>
      <c r="N227" s="4"/>
      <c r="P227" s="3"/>
      <c r="R227" s="4"/>
      <c r="T227" s="3"/>
      <c r="V227" s="4"/>
      <c r="X227" s="3"/>
      <c r="Z227" s="4"/>
      <c r="AB227" s="3"/>
    </row>
    <row r="228" spans="6:28" s="2" customFormat="1" x14ac:dyDescent="0.25">
      <c r="F228" s="4"/>
      <c r="H228" s="3"/>
      <c r="J228" s="4"/>
      <c r="L228" s="3"/>
      <c r="N228" s="4"/>
      <c r="P228" s="3"/>
      <c r="R228" s="4"/>
      <c r="T228" s="3"/>
      <c r="V228" s="4"/>
      <c r="X228" s="3"/>
      <c r="Z228" s="4"/>
      <c r="AB228" s="3"/>
    </row>
    <row r="229" spans="6:28" s="2" customFormat="1" x14ac:dyDescent="0.25">
      <c r="F229" s="4"/>
      <c r="H229" s="3"/>
      <c r="J229" s="4"/>
      <c r="L229" s="3"/>
      <c r="N229" s="4"/>
      <c r="P229" s="3"/>
      <c r="R229" s="4"/>
      <c r="T229" s="3"/>
      <c r="V229" s="4"/>
      <c r="X229" s="3"/>
      <c r="Z229" s="4"/>
      <c r="AB229" s="3"/>
    </row>
    <row r="230" spans="6:28" s="2" customFormat="1" x14ac:dyDescent="0.25">
      <c r="F230" s="4"/>
      <c r="H230" s="3"/>
      <c r="J230" s="4"/>
      <c r="L230" s="3"/>
      <c r="N230" s="4"/>
      <c r="P230" s="3"/>
      <c r="R230" s="4"/>
      <c r="T230" s="3"/>
      <c r="V230" s="4"/>
      <c r="X230" s="3"/>
      <c r="Z230" s="4"/>
      <c r="AB230" s="3"/>
    </row>
    <row r="231" spans="6:28" s="2" customFormat="1" x14ac:dyDescent="0.25">
      <c r="F231" s="4"/>
      <c r="H231" s="3"/>
      <c r="J231" s="4"/>
      <c r="L231" s="3"/>
      <c r="N231" s="4"/>
      <c r="P231" s="3"/>
      <c r="R231" s="4"/>
      <c r="T231" s="3"/>
      <c r="V231" s="4"/>
      <c r="X231" s="3"/>
      <c r="Z231" s="4"/>
      <c r="AB231" s="3"/>
    </row>
    <row r="232" spans="6:28" s="2" customFormat="1" x14ac:dyDescent="0.25">
      <c r="F232" s="4"/>
      <c r="H232" s="3"/>
      <c r="J232" s="4"/>
      <c r="L232" s="3"/>
      <c r="N232" s="4"/>
      <c r="P232" s="3"/>
      <c r="R232" s="4"/>
      <c r="T232" s="3"/>
      <c r="V232" s="4"/>
      <c r="X232" s="3"/>
      <c r="Z232" s="4"/>
      <c r="AB232" s="3"/>
    </row>
    <row r="233" spans="6:28" s="2" customFormat="1" x14ac:dyDescent="0.25">
      <c r="F233" s="4"/>
      <c r="H233" s="3"/>
      <c r="J233" s="4"/>
      <c r="L233" s="3"/>
      <c r="N233" s="4"/>
      <c r="P233" s="3"/>
      <c r="R233" s="4"/>
      <c r="T233" s="3"/>
      <c r="V233" s="4"/>
      <c r="X233" s="3"/>
      <c r="Z233" s="4"/>
      <c r="AB233" s="3"/>
    </row>
    <row r="234" spans="6:28" s="2" customFormat="1" x14ac:dyDescent="0.25">
      <c r="F234" s="4"/>
      <c r="H234" s="3"/>
      <c r="J234" s="4"/>
      <c r="L234" s="3"/>
      <c r="N234" s="4"/>
      <c r="P234" s="3"/>
      <c r="R234" s="4"/>
      <c r="T234" s="3"/>
      <c r="V234" s="4"/>
      <c r="X234" s="3"/>
      <c r="Z234" s="4"/>
      <c r="AB234" s="3"/>
    </row>
    <row r="235" spans="6:28" s="2" customFormat="1" x14ac:dyDescent="0.25">
      <c r="F235" s="4"/>
      <c r="H235" s="3"/>
      <c r="J235" s="4"/>
      <c r="L235" s="3"/>
      <c r="N235" s="4"/>
      <c r="P235" s="3"/>
      <c r="R235" s="4"/>
      <c r="T235" s="3"/>
      <c r="V235" s="4"/>
      <c r="X235" s="3"/>
      <c r="Z235" s="4"/>
      <c r="AB235" s="3"/>
    </row>
    <row r="236" spans="6:28" s="2" customFormat="1" x14ac:dyDescent="0.25">
      <c r="F236" s="4"/>
      <c r="H236" s="3"/>
      <c r="J236" s="4"/>
      <c r="L236" s="3"/>
      <c r="N236" s="4"/>
      <c r="P236" s="3"/>
      <c r="R236" s="4"/>
      <c r="T236" s="3"/>
      <c r="V236" s="4"/>
      <c r="X236" s="3"/>
      <c r="Z236" s="4"/>
      <c r="AB236" s="3"/>
    </row>
    <row r="237" spans="6:28" s="2" customFormat="1" x14ac:dyDescent="0.25">
      <c r="F237" s="4"/>
      <c r="H237" s="3"/>
      <c r="J237" s="4"/>
      <c r="L237" s="3"/>
      <c r="N237" s="4"/>
      <c r="P237" s="3"/>
      <c r="R237" s="4"/>
      <c r="T237" s="3"/>
      <c r="V237" s="4"/>
      <c r="X237" s="3"/>
      <c r="Z237" s="4"/>
      <c r="AB237" s="3"/>
    </row>
    <row r="238" spans="6:28" s="2" customFormat="1" x14ac:dyDescent="0.25">
      <c r="F238" s="4"/>
      <c r="H238" s="3"/>
      <c r="J238" s="4"/>
      <c r="L238" s="3"/>
      <c r="N238" s="4"/>
      <c r="P238" s="3"/>
      <c r="R238" s="4"/>
      <c r="T238" s="3"/>
      <c r="V238" s="4"/>
      <c r="X238" s="3"/>
      <c r="Z238" s="4"/>
      <c r="AB238" s="3"/>
    </row>
    <row r="239" spans="6:28" s="2" customFormat="1" x14ac:dyDescent="0.25">
      <c r="F239" s="4"/>
      <c r="H239" s="3"/>
      <c r="J239" s="4"/>
      <c r="L239" s="3"/>
      <c r="N239" s="4"/>
      <c r="P239" s="3"/>
      <c r="R239" s="4"/>
      <c r="T239" s="3"/>
      <c r="V239" s="4"/>
      <c r="X239" s="3"/>
      <c r="Z239" s="4"/>
      <c r="AB239" s="3"/>
    </row>
    <row r="240" spans="6:28" s="2" customFormat="1" x14ac:dyDescent="0.25">
      <c r="F240" s="4"/>
      <c r="H240" s="3"/>
      <c r="J240" s="4"/>
      <c r="L240" s="3"/>
      <c r="N240" s="4"/>
      <c r="P240" s="3"/>
      <c r="R240" s="4"/>
      <c r="T240" s="3"/>
      <c r="V240" s="4"/>
      <c r="X240" s="3"/>
      <c r="Z240" s="4"/>
      <c r="AB240" s="3"/>
    </row>
    <row r="241" spans="6:28" s="2" customFormat="1" x14ac:dyDescent="0.25">
      <c r="F241" s="4"/>
      <c r="H241" s="3"/>
      <c r="J241" s="4"/>
      <c r="L241" s="3"/>
      <c r="N241" s="4"/>
      <c r="P241" s="3"/>
      <c r="R241" s="4"/>
      <c r="T241" s="3"/>
      <c r="V241" s="4"/>
      <c r="X241" s="3"/>
      <c r="Z241" s="4"/>
      <c r="AB241" s="3"/>
    </row>
    <row r="242" spans="6:28" s="2" customFormat="1" x14ac:dyDescent="0.25">
      <c r="F242" s="4"/>
      <c r="H242" s="3"/>
      <c r="J242" s="4"/>
      <c r="L242" s="3"/>
      <c r="N242" s="4"/>
      <c r="P242" s="3"/>
      <c r="R242" s="4"/>
      <c r="T242" s="3"/>
      <c r="V242" s="4"/>
      <c r="X242" s="3"/>
      <c r="Z242" s="4"/>
      <c r="AB242" s="3"/>
    </row>
    <row r="243" spans="6:28" s="2" customFormat="1" x14ac:dyDescent="0.25">
      <c r="F243" s="4"/>
      <c r="H243" s="3"/>
      <c r="J243" s="4"/>
      <c r="L243" s="3"/>
      <c r="N243" s="4"/>
      <c r="P243" s="3"/>
      <c r="R243" s="4"/>
      <c r="T243" s="3"/>
      <c r="V243" s="4"/>
      <c r="X243" s="3"/>
      <c r="Z243" s="4"/>
      <c r="AB243" s="3"/>
    </row>
    <row r="244" spans="6:28" s="2" customFormat="1" x14ac:dyDescent="0.25">
      <c r="F244" s="4"/>
      <c r="H244" s="3"/>
      <c r="J244" s="4"/>
      <c r="L244" s="3"/>
      <c r="N244" s="4"/>
      <c r="P244" s="3"/>
      <c r="R244" s="4"/>
      <c r="T244" s="3"/>
      <c r="V244" s="4"/>
      <c r="X244" s="3"/>
      <c r="Z244" s="4"/>
      <c r="AB244" s="3"/>
    </row>
    <row r="245" spans="6:28" s="2" customFormat="1" x14ac:dyDescent="0.25">
      <c r="F245" s="4"/>
      <c r="H245" s="3"/>
      <c r="J245" s="4"/>
      <c r="L245" s="3"/>
      <c r="N245" s="4"/>
      <c r="P245" s="3"/>
      <c r="R245" s="4"/>
      <c r="T245" s="3"/>
      <c r="V245" s="4"/>
      <c r="X245" s="3"/>
      <c r="Z245" s="4"/>
      <c r="AB245" s="3"/>
    </row>
    <row r="246" spans="6:28" s="2" customFormat="1" x14ac:dyDescent="0.25">
      <c r="F246" s="4"/>
      <c r="H246" s="3"/>
      <c r="J246" s="4"/>
      <c r="L246" s="3"/>
      <c r="N246" s="4"/>
      <c r="P246" s="3"/>
      <c r="R246" s="4"/>
      <c r="T246" s="3"/>
      <c r="V246" s="4"/>
      <c r="X246" s="3"/>
      <c r="Z246" s="4"/>
      <c r="AB246" s="3"/>
    </row>
    <row r="247" spans="6:28" s="2" customFormat="1" x14ac:dyDescent="0.25">
      <c r="F247" s="4"/>
      <c r="H247" s="3"/>
      <c r="J247" s="4"/>
      <c r="L247" s="3"/>
      <c r="N247" s="4"/>
      <c r="P247" s="3"/>
      <c r="R247" s="4"/>
      <c r="T247" s="3"/>
      <c r="V247" s="4"/>
      <c r="X247" s="3"/>
      <c r="Z247" s="4"/>
      <c r="AB247" s="3"/>
    </row>
    <row r="248" spans="6:28" s="2" customFormat="1" x14ac:dyDescent="0.25">
      <c r="F248" s="4"/>
      <c r="H248" s="3"/>
      <c r="J248" s="4"/>
      <c r="L248" s="3"/>
      <c r="N248" s="4"/>
      <c r="P248" s="3"/>
      <c r="R248" s="4"/>
      <c r="T248" s="3"/>
      <c r="V248" s="4"/>
      <c r="X248" s="3"/>
      <c r="Z248" s="4"/>
      <c r="AB248" s="3"/>
    </row>
    <row r="249" spans="6:28" s="2" customFormat="1" x14ac:dyDescent="0.25">
      <c r="F249" s="4"/>
      <c r="H249" s="3"/>
      <c r="J249" s="4"/>
      <c r="L249" s="3"/>
      <c r="N249" s="4"/>
      <c r="P249" s="3"/>
      <c r="R249" s="4"/>
      <c r="T249" s="3"/>
      <c r="V249" s="4"/>
      <c r="X249" s="3"/>
      <c r="Z249" s="4"/>
      <c r="AB249" s="3"/>
    </row>
    <row r="250" spans="6:28" s="2" customFormat="1" x14ac:dyDescent="0.25">
      <c r="F250" s="4"/>
      <c r="H250" s="3"/>
      <c r="J250" s="4"/>
      <c r="L250" s="3"/>
      <c r="N250" s="4"/>
      <c r="P250" s="3"/>
      <c r="R250" s="4"/>
      <c r="T250" s="3"/>
      <c r="V250" s="4"/>
      <c r="X250" s="3"/>
      <c r="Z250" s="4"/>
      <c r="AB250" s="3"/>
    </row>
    <row r="251" spans="6:28" s="2" customFormat="1" x14ac:dyDescent="0.25">
      <c r="F251" s="4"/>
      <c r="H251" s="3"/>
      <c r="J251" s="4"/>
      <c r="L251" s="3"/>
      <c r="N251" s="4"/>
      <c r="P251" s="3"/>
      <c r="R251" s="4"/>
      <c r="T251" s="3"/>
      <c r="V251" s="4"/>
      <c r="X251" s="3"/>
      <c r="Z251" s="4"/>
      <c r="AB251" s="3"/>
    </row>
    <row r="252" spans="6:28" s="2" customFormat="1" x14ac:dyDescent="0.25">
      <c r="F252" s="4"/>
      <c r="H252" s="3"/>
      <c r="J252" s="4"/>
      <c r="L252" s="3"/>
      <c r="N252" s="4"/>
      <c r="P252" s="3"/>
      <c r="R252" s="4"/>
      <c r="T252" s="3"/>
      <c r="V252" s="4"/>
      <c r="X252" s="3"/>
      <c r="Z252" s="4"/>
      <c r="AB252" s="3"/>
    </row>
    <row r="253" spans="6:28" s="2" customFormat="1" x14ac:dyDescent="0.25">
      <c r="F253" s="4"/>
      <c r="H253" s="3"/>
      <c r="J253" s="4"/>
      <c r="L253" s="3"/>
      <c r="N253" s="4"/>
      <c r="P253" s="3"/>
      <c r="R253" s="4"/>
      <c r="T253" s="3"/>
      <c r="V253" s="4"/>
      <c r="X253" s="3"/>
      <c r="Z253" s="4"/>
      <c r="AB253" s="3"/>
    </row>
    <row r="254" spans="6:28" s="2" customFormat="1" x14ac:dyDescent="0.25">
      <c r="F254" s="4"/>
      <c r="H254" s="3"/>
      <c r="J254" s="4"/>
      <c r="L254" s="3"/>
      <c r="N254" s="4"/>
      <c r="P254" s="3"/>
      <c r="R254" s="4"/>
      <c r="T254" s="3"/>
      <c r="V254" s="4"/>
      <c r="X254" s="3"/>
      <c r="Z254" s="4"/>
      <c r="AB254" s="3"/>
    </row>
    <row r="255" spans="6:28" s="2" customFormat="1" x14ac:dyDescent="0.25">
      <c r="F255" s="4"/>
      <c r="H255" s="3"/>
      <c r="J255" s="4"/>
      <c r="L255" s="3"/>
      <c r="N255" s="4"/>
      <c r="P255" s="3"/>
      <c r="R255" s="4"/>
      <c r="T255" s="3"/>
      <c r="V255" s="4"/>
      <c r="X255" s="3"/>
      <c r="Z255" s="4"/>
      <c r="AB255" s="3"/>
    </row>
    <row r="256" spans="6:28" s="2" customFormat="1" x14ac:dyDescent="0.25">
      <c r="F256" s="4"/>
      <c r="H256" s="3"/>
      <c r="J256" s="4"/>
      <c r="L256" s="3"/>
      <c r="N256" s="4"/>
      <c r="P256" s="3"/>
      <c r="R256" s="4"/>
      <c r="T256" s="3"/>
      <c r="V256" s="4"/>
      <c r="X256" s="3"/>
      <c r="Z256" s="4"/>
      <c r="AB256" s="3"/>
    </row>
  </sheetData>
  <mergeCells count="8">
    <mergeCell ref="AC5:AF5"/>
    <mergeCell ref="Y5:AB5"/>
    <mergeCell ref="U5:X5"/>
    <mergeCell ref="B2:C3"/>
    <mergeCell ref="D5:H5"/>
    <mergeCell ref="I5:L5"/>
    <mergeCell ref="M5:P5"/>
    <mergeCell ref="Q5:T5"/>
  </mergeCells>
  <pageMargins left="0.7" right="0.7" top="0.75" bottom="0.75" header="0.3" footer="0.3"/>
  <pageSetup paperSize="9" orientation="portrait" horizontalDpi="4294967294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274"/>
  <sheetViews>
    <sheetView zoomScale="90" zoomScaleNormal="90" workbookViewId="0">
      <pane xSplit="3" ySplit="6" topLeftCell="D39" activePane="bottomRight" state="frozen"/>
      <selection pane="topRight" activeCell="D1" sqref="D1"/>
      <selection pane="bottomLeft" activeCell="A7" sqref="A7"/>
      <selection pane="bottomRight" activeCell="C62" sqref="C62"/>
    </sheetView>
  </sheetViews>
  <sheetFormatPr baseColWidth="10" defaultColWidth="9.140625" defaultRowHeight="15" outlineLevelCol="2" x14ac:dyDescent="0.25"/>
  <cols>
    <col min="1" max="1" width="9.140625" style="2" hidden="1" customWidth="1" outlineLevel="1"/>
    <col min="2" max="2" width="16.7109375" customWidth="1" collapsed="1"/>
    <col min="3" max="3" width="25.7109375" bestFit="1" customWidth="1"/>
    <col min="4" max="4" width="9.85546875" style="2" customWidth="1"/>
    <col min="5" max="5" width="10.42578125" style="4" customWidth="1"/>
    <col min="6" max="6" width="9.28515625" style="2" hidden="1" customWidth="1" outlineLevel="1"/>
    <col min="7" max="7" width="11.42578125" style="3" customWidth="1" collapsed="1"/>
    <col min="8" max="8" width="10" style="2" customWidth="1"/>
    <col min="9" max="9" width="11" style="4" customWidth="1"/>
    <col min="10" max="10" width="9.28515625" style="2" hidden="1" customWidth="1" outlineLevel="1"/>
    <col min="11" max="11" width="10.85546875" style="3" customWidth="1" collapsed="1"/>
    <col min="12" max="12" width="10.140625" style="2" customWidth="1"/>
    <col min="13" max="13" width="11" style="4" customWidth="1"/>
    <col min="14" max="14" width="9.28515625" style="2" hidden="1" customWidth="1" outlineLevel="1"/>
    <col min="15" max="15" width="10.85546875" style="3" customWidth="1" collapsed="1"/>
    <col min="16" max="16" width="10" style="2" customWidth="1"/>
    <col min="17" max="17" width="11" style="4" customWidth="1"/>
    <col min="18" max="18" width="9.28515625" style="2" hidden="1" customWidth="1" outlineLevel="1"/>
    <col min="19" max="19" width="10.85546875" style="3" customWidth="1" collapsed="1"/>
    <col min="20" max="20" width="10" style="2" customWidth="1"/>
    <col min="21" max="21" width="11" style="4" customWidth="1"/>
    <col min="22" max="22" width="9.28515625" style="2" hidden="1" customWidth="1" outlineLevel="1"/>
    <col min="23" max="23" width="10.85546875" style="3" customWidth="1" collapsed="1"/>
    <col min="24" max="24" width="10" style="2" hidden="1" customWidth="1" outlineLevel="1"/>
    <col min="25" max="25" width="11" style="4" hidden="1" customWidth="1" outlineLevel="1"/>
    <col min="26" max="26" width="9.28515625" style="2" hidden="1" customWidth="1" outlineLevel="2"/>
    <col min="27" max="27" width="10.85546875" style="3" hidden="1" customWidth="1" outlineLevel="1" collapsed="1"/>
    <col min="28" max="28" width="9.140625" style="2" collapsed="1"/>
    <col min="29" max="61" width="9.140625" style="2"/>
  </cols>
  <sheetData>
    <row r="1" spans="1:27" s="2" customFormat="1" x14ac:dyDescent="0.25">
      <c r="E1" s="4"/>
      <c r="G1" s="3"/>
      <c r="I1" s="4"/>
      <c r="K1" s="3"/>
      <c r="M1" s="4"/>
      <c r="O1" s="3"/>
      <c r="Q1" s="4"/>
      <c r="S1" s="3"/>
      <c r="U1" s="4"/>
      <c r="W1" s="3"/>
      <c r="Y1" s="4"/>
      <c r="AA1" s="3"/>
    </row>
    <row r="2" spans="1:27" s="2" customFormat="1" x14ac:dyDescent="0.25">
      <c r="B2" s="174" t="s">
        <v>57</v>
      </c>
      <c r="C2" s="175"/>
      <c r="E2" s="4"/>
      <c r="G2" s="3"/>
      <c r="I2" s="4"/>
      <c r="K2" s="3"/>
      <c r="M2" s="4"/>
      <c r="O2" s="3"/>
      <c r="Q2" s="4"/>
      <c r="S2" s="3"/>
      <c r="U2" s="4"/>
      <c r="W2" s="3"/>
      <c r="Y2" s="4"/>
      <c r="AA2" s="3"/>
    </row>
    <row r="3" spans="1:27" s="2" customFormat="1" x14ac:dyDescent="0.25">
      <c r="B3" s="176"/>
      <c r="C3" s="177"/>
      <c r="E3" s="4"/>
      <c r="G3" s="3"/>
      <c r="I3" s="4"/>
      <c r="K3" s="3"/>
      <c r="M3" s="4"/>
      <c r="O3" s="3"/>
      <c r="Q3" s="4"/>
      <c r="S3" s="3"/>
      <c r="U3" s="4"/>
      <c r="W3" s="3"/>
      <c r="Y3" s="4"/>
      <c r="AA3" s="3"/>
    </row>
    <row r="4" spans="1:27" s="2" customFormat="1" x14ac:dyDescent="0.25">
      <c r="E4" s="4"/>
      <c r="I4" s="4"/>
      <c r="M4" s="4"/>
      <c r="Q4" s="4"/>
      <c r="U4" s="4"/>
      <c r="Y4" s="4"/>
    </row>
    <row r="5" spans="1:27" s="30" customFormat="1" x14ac:dyDescent="0.25">
      <c r="D5" s="171">
        <v>44562</v>
      </c>
      <c r="E5" s="172"/>
      <c r="F5" s="172"/>
      <c r="G5" s="173"/>
      <c r="H5" s="171">
        <v>44593</v>
      </c>
      <c r="I5" s="172"/>
      <c r="J5" s="172"/>
      <c r="K5" s="173"/>
      <c r="L5" s="171">
        <v>44621</v>
      </c>
      <c r="M5" s="172"/>
      <c r="N5" s="172"/>
      <c r="O5" s="173"/>
      <c r="P5" s="171">
        <v>44652</v>
      </c>
      <c r="Q5" s="172"/>
      <c r="R5" s="172"/>
      <c r="S5" s="173"/>
      <c r="T5" s="171">
        <v>44682</v>
      </c>
      <c r="U5" s="172"/>
      <c r="V5" s="172"/>
      <c r="W5" s="173"/>
      <c r="X5" s="171">
        <v>44713</v>
      </c>
      <c r="Y5" s="172"/>
      <c r="Z5" s="172"/>
      <c r="AA5" s="173"/>
    </row>
    <row r="6" spans="1:27" x14ac:dyDescent="0.25">
      <c r="B6" s="35" t="s">
        <v>1</v>
      </c>
      <c r="C6" s="35" t="s">
        <v>0</v>
      </c>
      <c r="D6" s="35" t="s">
        <v>50</v>
      </c>
      <c r="E6" s="36" t="s">
        <v>47</v>
      </c>
      <c r="F6" s="35" t="s">
        <v>48</v>
      </c>
      <c r="G6" s="35" t="s">
        <v>49</v>
      </c>
      <c r="H6" s="35" t="s">
        <v>50</v>
      </c>
      <c r="I6" s="36" t="s">
        <v>47</v>
      </c>
      <c r="J6" s="35" t="s">
        <v>48</v>
      </c>
      <c r="K6" s="35" t="s">
        <v>49</v>
      </c>
      <c r="L6" s="35" t="s">
        <v>50</v>
      </c>
      <c r="M6" s="36" t="s">
        <v>47</v>
      </c>
      <c r="N6" s="35" t="s">
        <v>48</v>
      </c>
      <c r="O6" s="35" t="s">
        <v>49</v>
      </c>
      <c r="P6" s="35" t="s">
        <v>50</v>
      </c>
      <c r="Q6" s="36" t="s">
        <v>47</v>
      </c>
      <c r="R6" s="35" t="s">
        <v>48</v>
      </c>
      <c r="S6" s="35" t="s">
        <v>49</v>
      </c>
      <c r="T6" s="35" t="s">
        <v>50</v>
      </c>
      <c r="U6" s="36" t="s">
        <v>47</v>
      </c>
      <c r="V6" s="35" t="s">
        <v>48</v>
      </c>
      <c r="W6" s="35" t="s">
        <v>49</v>
      </c>
      <c r="X6" s="35" t="s">
        <v>50</v>
      </c>
      <c r="Y6" s="36" t="s">
        <v>47</v>
      </c>
      <c r="Z6" s="35" t="s">
        <v>48</v>
      </c>
      <c r="AA6" s="35" t="s">
        <v>49</v>
      </c>
    </row>
    <row r="7" spans="1:27" x14ac:dyDescent="0.25">
      <c r="B7" s="15" t="s">
        <v>3</v>
      </c>
      <c r="C7" s="16" t="s">
        <v>2</v>
      </c>
      <c r="D7" s="6" t="s">
        <v>52</v>
      </c>
      <c r="E7" s="41"/>
      <c r="F7" s="6">
        <v>1.9800000000000002E-2</v>
      </c>
      <c r="G7" s="7">
        <f t="shared" ref="G7:G10" si="0">+E7*F7</f>
        <v>0</v>
      </c>
      <c r="H7" s="6" t="s">
        <v>52</v>
      </c>
      <c r="I7" s="41"/>
      <c r="J7" s="6">
        <v>1.9800000000000002E-2</v>
      </c>
      <c r="K7" s="7">
        <f t="shared" ref="K7:K10" si="1">+I7*J7</f>
        <v>0</v>
      </c>
      <c r="L7" s="6" t="s">
        <v>52</v>
      </c>
      <c r="M7" s="41"/>
      <c r="N7" s="6">
        <v>1.9800000000000002E-2</v>
      </c>
      <c r="O7" s="7">
        <f t="shared" ref="O7:O10" si="2">+M7*N7</f>
        <v>0</v>
      </c>
      <c r="P7" s="6" t="s">
        <v>52</v>
      </c>
      <c r="Q7" s="41"/>
      <c r="R7" s="6">
        <v>1.9800000000000002E-2</v>
      </c>
      <c r="S7" s="7">
        <f t="shared" ref="S7:S10" si="3">+Q7*R7</f>
        <v>0</v>
      </c>
      <c r="T7" s="6" t="s">
        <v>52</v>
      </c>
      <c r="U7" s="41"/>
      <c r="V7" s="6">
        <v>1.9800000000000002E-2</v>
      </c>
      <c r="W7" s="7">
        <f t="shared" ref="W7:W10" si="4">+U7*V7</f>
        <v>0</v>
      </c>
      <c r="X7" s="6" t="s">
        <v>52</v>
      </c>
      <c r="Y7" s="41"/>
      <c r="Z7" s="6">
        <v>1.9800000000000002E-2</v>
      </c>
      <c r="AA7" s="7">
        <f t="shared" ref="AA7:AA10" si="5">+Y7*Z7</f>
        <v>0</v>
      </c>
    </row>
    <row r="8" spans="1:27" x14ac:dyDescent="0.25">
      <c r="B8" s="17" t="s">
        <v>3</v>
      </c>
      <c r="C8" s="18" t="s">
        <v>2</v>
      </c>
      <c r="D8" s="9" t="s">
        <v>51</v>
      </c>
      <c r="E8" s="42"/>
      <c r="F8" s="9">
        <v>5.0099999999999999E-2</v>
      </c>
      <c r="G8" s="10">
        <f t="shared" si="0"/>
        <v>0</v>
      </c>
      <c r="H8" s="9" t="s">
        <v>51</v>
      </c>
      <c r="I8" s="42"/>
      <c r="J8" s="9">
        <v>5.0099999999999999E-2</v>
      </c>
      <c r="K8" s="10">
        <f t="shared" si="1"/>
        <v>0</v>
      </c>
      <c r="L8" s="9" t="s">
        <v>51</v>
      </c>
      <c r="M8" s="42"/>
      <c r="N8" s="9">
        <v>5.0099999999999999E-2</v>
      </c>
      <c r="O8" s="10">
        <f t="shared" si="2"/>
        <v>0</v>
      </c>
      <c r="P8" s="9" t="s">
        <v>51</v>
      </c>
      <c r="Q8" s="42"/>
      <c r="R8" s="9">
        <v>5.0099999999999999E-2</v>
      </c>
      <c r="S8" s="10">
        <f t="shared" si="3"/>
        <v>0</v>
      </c>
      <c r="T8" s="9" t="s">
        <v>51</v>
      </c>
      <c r="U8" s="42"/>
      <c r="V8" s="9">
        <v>5.0099999999999999E-2</v>
      </c>
      <c r="W8" s="10">
        <f t="shared" si="4"/>
        <v>0</v>
      </c>
      <c r="X8" s="9" t="s">
        <v>51</v>
      </c>
      <c r="Y8" s="42"/>
      <c r="Z8" s="9">
        <v>5.0099999999999999E-2</v>
      </c>
      <c r="AA8" s="10">
        <f t="shared" si="5"/>
        <v>0</v>
      </c>
    </row>
    <row r="9" spans="1:27" x14ac:dyDescent="0.25">
      <c r="B9" s="15" t="s">
        <v>5</v>
      </c>
      <c r="C9" s="16" t="s">
        <v>4</v>
      </c>
      <c r="D9" s="6" t="s">
        <v>52</v>
      </c>
      <c r="E9" s="41"/>
      <c r="F9" s="6">
        <v>1.9800000000000002E-2</v>
      </c>
      <c r="G9" s="7">
        <f t="shared" si="0"/>
        <v>0</v>
      </c>
      <c r="H9" s="6" t="s">
        <v>52</v>
      </c>
      <c r="I9" s="41"/>
      <c r="J9" s="6">
        <v>1.9800000000000002E-2</v>
      </c>
      <c r="K9" s="7">
        <f t="shared" si="1"/>
        <v>0</v>
      </c>
      <c r="L9" s="6" t="s">
        <v>52</v>
      </c>
      <c r="M9" s="41"/>
      <c r="N9" s="6">
        <v>1.9800000000000002E-2</v>
      </c>
      <c r="O9" s="7">
        <f t="shared" si="2"/>
        <v>0</v>
      </c>
      <c r="P9" s="6" t="s">
        <v>52</v>
      </c>
      <c r="Q9" s="41"/>
      <c r="R9" s="6">
        <v>1.9800000000000002E-2</v>
      </c>
      <c r="S9" s="7">
        <f t="shared" si="3"/>
        <v>0</v>
      </c>
      <c r="T9" s="6" t="s">
        <v>52</v>
      </c>
      <c r="U9" s="41"/>
      <c r="V9" s="6">
        <v>1.9800000000000002E-2</v>
      </c>
      <c r="W9" s="7">
        <f t="shared" si="4"/>
        <v>0</v>
      </c>
      <c r="X9" s="6" t="s">
        <v>52</v>
      </c>
      <c r="Y9" s="41"/>
      <c r="Z9" s="6">
        <v>1.9800000000000002E-2</v>
      </c>
      <c r="AA9" s="7">
        <f t="shared" si="5"/>
        <v>0</v>
      </c>
    </row>
    <row r="10" spans="1:27" x14ac:dyDescent="0.25">
      <c r="B10" s="17" t="s">
        <v>5</v>
      </c>
      <c r="C10" s="18" t="s">
        <v>4</v>
      </c>
      <c r="D10" s="9" t="s">
        <v>51</v>
      </c>
      <c r="E10" s="42"/>
      <c r="F10" s="9">
        <v>5.0099999999999999E-2</v>
      </c>
      <c r="G10" s="10">
        <f t="shared" si="0"/>
        <v>0</v>
      </c>
      <c r="H10" s="9" t="s">
        <v>51</v>
      </c>
      <c r="I10" s="42"/>
      <c r="J10" s="9">
        <v>5.0099999999999999E-2</v>
      </c>
      <c r="K10" s="10">
        <f t="shared" si="1"/>
        <v>0</v>
      </c>
      <c r="L10" s="9" t="s">
        <v>51</v>
      </c>
      <c r="M10" s="42"/>
      <c r="N10" s="9">
        <v>5.0099999999999999E-2</v>
      </c>
      <c r="O10" s="10">
        <f t="shared" si="2"/>
        <v>0</v>
      </c>
      <c r="P10" s="9" t="s">
        <v>51</v>
      </c>
      <c r="Q10" s="42"/>
      <c r="R10" s="9">
        <v>5.0099999999999999E-2</v>
      </c>
      <c r="S10" s="10">
        <f t="shared" si="3"/>
        <v>0</v>
      </c>
      <c r="T10" s="9" t="s">
        <v>51</v>
      </c>
      <c r="U10" s="42"/>
      <c r="V10" s="9">
        <v>5.0099999999999999E-2</v>
      </c>
      <c r="W10" s="10">
        <f t="shared" si="4"/>
        <v>0</v>
      </c>
      <c r="X10" s="9" t="s">
        <v>51</v>
      </c>
      <c r="Y10" s="42"/>
      <c r="Z10" s="9">
        <v>5.0099999999999999E-2</v>
      </c>
      <c r="AA10" s="10">
        <f t="shared" si="5"/>
        <v>0</v>
      </c>
    </row>
    <row r="11" spans="1:27" x14ac:dyDescent="0.25">
      <c r="B11" s="15" t="s">
        <v>7</v>
      </c>
      <c r="C11" s="16" t="s">
        <v>6</v>
      </c>
      <c r="D11" s="6" t="s">
        <v>52</v>
      </c>
      <c r="E11" s="41"/>
      <c r="F11" s="6">
        <v>1.9800000000000002E-2</v>
      </c>
      <c r="G11" s="7">
        <f>+E11*F11</f>
        <v>0</v>
      </c>
      <c r="H11" s="6" t="s">
        <v>52</v>
      </c>
      <c r="I11" s="41"/>
      <c r="J11" s="6">
        <v>1.9800000000000002E-2</v>
      </c>
      <c r="K11" s="7">
        <f>+I11*J11</f>
        <v>0</v>
      </c>
      <c r="L11" s="6" t="s">
        <v>52</v>
      </c>
      <c r="M11" s="41"/>
      <c r="N11" s="6">
        <v>1.9800000000000002E-2</v>
      </c>
      <c r="O11" s="7">
        <f>+M11*N11</f>
        <v>0</v>
      </c>
      <c r="P11" s="6" t="s">
        <v>52</v>
      </c>
      <c r="Q11" s="41"/>
      <c r="R11" s="6">
        <v>1.9800000000000002E-2</v>
      </c>
      <c r="S11" s="7">
        <f>+Q11*R11</f>
        <v>0</v>
      </c>
      <c r="T11" s="6" t="s">
        <v>52</v>
      </c>
      <c r="U11" s="41"/>
      <c r="V11" s="6">
        <v>1.9800000000000002E-2</v>
      </c>
      <c r="W11" s="7">
        <f>+U11*V11</f>
        <v>0</v>
      </c>
      <c r="X11" s="6" t="s">
        <v>52</v>
      </c>
      <c r="Y11" s="41"/>
      <c r="Z11" s="6">
        <v>1.9800000000000002E-2</v>
      </c>
      <c r="AA11" s="7">
        <f>+Y11*Z11</f>
        <v>0</v>
      </c>
    </row>
    <row r="12" spans="1:27" x14ac:dyDescent="0.25">
      <c r="B12" s="17" t="s">
        <v>7</v>
      </c>
      <c r="C12" s="18" t="s">
        <v>6</v>
      </c>
      <c r="D12" s="9" t="s">
        <v>51</v>
      </c>
      <c r="E12" s="42"/>
      <c r="F12" s="9">
        <v>5.0099999999999999E-2</v>
      </c>
      <c r="G12" s="10">
        <f t="shared" ref="G12" si="6">+E12*F12</f>
        <v>0</v>
      </c>
      <c r="H12" s="9" t="s">
        <v>51</v>
      </c>
      <c r="I12" s="42"/>
      <c r="J12" s="9">
        <v>5.0099999999999999E-2</v>
      </c>
      <c r="K12" s="10">
        <f t="shared" ref="K12" si="7">+I12*J12</f>
        <v>0</v>
      </c>
      <c r="L12" s="9" t="s">
        <v>51</v>
      </c>
      <c r="M12" s="42"/>
      <c r="N12" s="9">
        <v>5.0099999999999999E-2</v>
      </c>
      <c r="O12" s="10">
        <f t="shared" ref="O12" si="8">+M12*N12</f>
        <v>0</v>
      </c>
      <c r="P12" s="9" t="s">
        <v>51</v>
      </c>
      <c r="Q12" s="42"/>
      <c r="R12" s="9">
        <v>5.0099999999999999E-2</v>
      </c>
      <c r="S12" s="10">
        <f t="shared" ref="S12" si="9">+Q12*R12</f>
        <v>0</v>
      </c>
      <c r="T12" s="9" t="s">
        <v>51</v>
      </c>
      <c r="U12" s="42"/>
      <c r="V12" s="9">
        <v>5.0099999999999999E-2</v>
      </c>
      <c r="W12" s="10">
        <f t="shared" ref="W12" si="10">+U12*V12</f>
        <v>0</v>
      </c>
      <c r="X12" s="9" t="s">
        <v>51</v>
      </c>
      <c r="Y12" s="42"/>
      <c r="Z12" s="9">
        <v>5.0099999999999999E-2</v>
      </c>
      <c r="AA12" s="10">
        <f t="shared" ref="AA12" si="11">+Y12*Z12</f>
        <v>0</v>
      </c>
    </row>
    <row r="13" spans="1:27" x14ac:dyDescent="0.25">
      <c r="B13" s="15" t="s">
        <v>9</v>
      </c>
      <c r="C13" s="16" t="s">
        <v>8</v>
      </c>
      <c r="D13" s="6" t="s">
        <v>52</v>
      </c>
      <c r="E13" s="41"/>
      <c r="F13" s="6">
        <v>1.9800000000000002E-2</v>
      </c>
      <c r="G13" s="7">
        <f>+E13*F13</f>
        <v>0</v>
      </c>
      <c r="H13" s="6" t="s">
        <v>52</v>
      </c>
      <c r="I13" s="41"/>
      <c r="J13" s="6">
        <v>1.9800000000000002E-2</v>
      </c>
      <c r="K13" s="7">
        <f>+I13*J13</f>
        <v>0</v>
      </c>
      <c r="L13" s="6" t="s">
        <v>52</v>
      </c>
      <c r="M13" s="41"/>
      <c r="N13" s="6">
        <v>1.9800000000000002E-2</v>
      </c>
      <c r="O13" s="7">
        <f>+M13*N13</f>
        <v>0</v>
      </c>
      <c r="P13" s="6" t="s">
        <v>52</v>
      </c>
      <c r="Q13" s="41"/>
      <c r="R13" s="6">
        <v>1.9800000000000002E-2</v>
      </c>
      <c r="S13" s="7">
        <f>+Q13*R13</f>
        <v>0</v>
      </c>
      <c r="T13" s="6" t="s">
        <v>52</v>
      </c>
      <c r="U13" s="41"/>
      <c r="V13" s="6">
        <v>1.9800000000000002E-2</v>
      </c>
      <c r="W13" s="7">
        <f>+U13*V13</f>
        <v>0</v>
      </c>
      <c r="X13" s="6" t="s">
        <v>52</v>
      </c>
      <c r="Y13" s="41"/>
      <c r="Z13" s="6">
        <v>1.9800000000000002E-2</v>
      </c>
      <c r="AA13" s="7">
        <f>+Y13*Z13</f>
        <v>0</v>
      </c>
    </row>
    <row r="14" spans="1:27" x14ac:dyDescent="0.25">
      <c r="B14" s="17" t="s">
        <v>9</v>
      </c>
      <c r="C14" s="18" t="s">
        <v>8</v>
      </c>
      <c r="D14" s="9" t="s">
        <v>51</v>
      </c>
      <c r="E14" s="42"/>
      <c r="F14" s="9">
        <v>5.0099999999999999E-2</v>
      </c>
      <c r="G14" s="10">
        <f t="shared" ref="G14" si="12">+E14*F14</f>
        <v>0</v>
      </c>
      <c r="H14" s="9" t="s">
        <v>51</v>
      </c>
      <c r="I14" s="42"/>
      <c r="J14" s="9">
        <v>5.0099999999999999E-2</v>
      </c>
      <c r="K14" s="10">
        <f t="shared" ref="K14" si="13">+I14*J14</f>
        <v>0</v>
      </c>
      <c r="L14" s="9" t="s">
        <v>51</v>
      </c>
      <c r="M14" s="42"/>
      <c r="N14" s="9">
        <v>5.0099999999999999E-2</v>
      </c>
      <c r="O14" s="10">
        <f t="shared" ref="O14" si="14">+M14*N14</f>
        <v>0</v>
      </c>
      <c r="P14" s="9" t="s">
        <v>51</v>
      </c>
      <c r="Q14" s="42"/>
      <c r="R14" s="9">
        <v>5.0099999999999999E-2</v>
      </c>
      <c r="S14" s="10">
        <f t="shared" ref="S14" si="15">+Q14*R14</f>
        <v>0</v>
      </c>
      <c r="T14" s="9" t="s">
        <v>51</v>
      </c>
      <c r="U14" s="42"/>
      <c r="V14" s="9">
        <v>5.0099999999999999E-2</v>
      </c>
      <c r="W14" s="10">
        <f t="shared" ref="W14" si="16">+U14*V14</f>
        <v>0</v>
      </c>
      <c r="X14" s="9" t="s">
        <v>51</v>
      </c>
      <c r="Y14" s="42"/>
      <c r="Z14" s="9">
        <v>5.0099999999999999E-2</v>
      </c>
      <c r="AA14" s="10">
        <f t="shared" ref="AA14" si="17">+Y14*Z14</f>
        <v>0</v>
      </c>
    </row>
    <row r="15" spans="1:27" x14ac:dyDescent="0.25">
      <c r="A15" s="1" t="s">
        <v>12</v>
      </c>
      <c r="B15" s="11" t="s">
        <v>11</v>
      </c>
      <c r="C15" s="12" t="s">
        <v>10</v>
      </c>
      <c r="D15" s="6" t="s">
        <v>52</v>
      </c>
      <c r="E15" s="41"/>
      <c r="F15" s="6">
        <v>1.9800000000000002E-2</v>
      </c>
      <c r="G15" s="7">
        <f>+E15*F15</f>
        <v>0</v>
      </c>
      <c r="H15" s="6" t="s">
        <v>52</v>
      </c>
      <c r="I15" s="41"/>
      <c r="J15" s="6">
        <v>1.9800000000000002E-2</v>
      </c>
      <c r="K15" s="7">
        <f>+I15*J15</f>
        <v>0</v>
      </c>
      <c r="L15" s="6" t="s">
        <v>52</v>
      </c>
      <c r="M15" s="41"/>
      <c r="N15" s="6">
        <v>1.9800000000000002E-2</v>
      </c>
      <c r="O15" s="7">
        <f>+M15*N15</f>
        <v>0</v>
      </c>
      <c r="P15" s="6" t="s">
        <v>52</v>
      </c>
      <c r="Q15" s="41"/>
      <c r="R15" s="6">
        <v>1.9800000000000002E-2</v>
      </c>
      <c r="S15" s="7">
        <f>+Q15*R15</f>
        <v>0</v>
      </c>
      <c r="T15" s="6" t="s">
        <v>52</v>
      </c>
      <c r="U15" s="41"/>
      <c r="V15" s="6">
        <v>1.9800000000000002E-2</v>
      </c>
      <c r="W15" s="7">
        <f>+U15*V15</f>
        <v>0</v>
      </c>
      <c r="X15" s="6" t="s">
        <v>52</v>
      </c>
      <c r="Y15" s="41"/>
      <c r="Z15" s="6">
        <v>1.9800000000000002E-2</v>
      </c>
      <c r="AA15" s="7">
        <f>+Y15*Z15</f>
        <v>0</v>
      </c>
    </row>
    <row r="16" spans="1:27" x14ac:dyDescent="0.25">
      <c r="A16" s="1" t="s">
        <v>12</v>
      </c>
      <c r="B16" s="13" t="s">
        <v>11</v>
      </c>
      <c r="C16" s="14" t="s">
        <v>10</v>
      </c>
      <c r="D16" s="9" t="s">
        <v>51</v>
      </c>
      <c r="E16" s="42"/>
      <c r="F16" s="9">
        <v>5.0099999999999999E-2</v>
      </c>
      <c r="G16" s="10">
        <f t="shared" ref="G16:G18" si="18">+E16*F16</f>
        <v>0</v>
      </c>
      <c r="H16" s="9" t="s">
        <v>51</v>
      </c>
      <c r="I16" s="42"/>
      <c r="J16" s="9">
        <v>5.0099999999999999E-2</v>
      </c>
      <c r="K16" s="10">
        <f t="shared" ref="K16:K18" si="19">+I16*J16</f>
        <v>0</v>
      </c>
      <c r="L16" s="9" t="s">
        <v>51</v>
      </c>
      <c r="M16" s="42"/>
      <c r="N16" s="9">
        <v>5.0099999999999999E-2</v>
      </c>
      <c r="O16" s="10">
        <f t="shared" ref="O16:O18" si="20">+M16*N16</f>
        <v>0</v>
      </c>
      <c r="P16" s="9" t="s">
        <v>51</v>
      </c>
      <c r="Q16" s="42"/>
      <c r="R16" s="9">
        <v>5.0099999999999999E-2</v>
      </c>
      <c r="S16" s="10">
        <f t="shared" ref="S16:S18" si="21">+Q16*R16</f>
        <v>0</v>
      </c>
      <c r="T16" s="9" t="s">
        <v>51</v>
      </c>
      <c r="U16" s="42"/>
      <c r="V16" s="9">
        <v>5.0099999999999999E-2</v>
      </c>
      <c r="W16" s="10">
        <f t="shared" ref="W16:W18" si="22">+U16*V16</f>
        <v>0</v>
      </c>
      <c r="X16" s="9" t="s">
        <v>51</v>
      </c>
      <c r="Y16" s="42"/>
      <c r="Z16" s="9">
        <v>5.0099999999999999E-2</v>
      </c>
      <c r="AA16" s="10">
        <f t="shared" ref="AA16:AA18" si="23">+Y16*Z16</f>
        <v>0</v>
      </c>
    </row>
    <row r="17" spans="1:61" x14ac:dyDescent="0.25">
      <c r="B17" s="15" t="s">
        <v>14</v>
      </c>
      <c r="C17" s="16" t="s">
        <v>13</v>
      </c>
      <c r="D17" s="6" t="s">
        <v>52</v>
      </c>
      <c r="E17" s="41"/>
      <c r="F17" s="6">
        <v>1.9800000000000002E-2</v>
      </c>
      <c r="G17" s="7">
        <f t="shared" si="18"/>
        <v>0</v>
      </c>
      <c r="H17" s="6" t="s">
        <v>52</v>
      </c>
      <c r="I17" s="41"/>
      <c r="J17" s="6">
        <v>1.9800000000000002E-2</v>
      </c>
      <c r="K17" s="7">
        <f t="shared" si="19"/>
        <v>0</v>
      </c>
      <c r="L17" s="6" t="s">
        <v>52</v>
      </c>
      <c r="M17" s="41"/>
      <c r="N17" s="6">
        <v>1.9800000000000002E-2</v>
      </c>
      <c r="O17" s="7">
        <f t="shared" si="20"/>
        <v>0</v>
      </c>
      <c r="P17" s="6" t="s">
        <v>52</v>
      </c>
      <c r="Q17" s="41"/>
      <c r="R17" s="6">
        <v>1.9800000000000002E-2</v>
      </c>
      <c r="S17" s="7">
        <f t="shared" si="21"/>
        <v>0</v>
      </c>
      <c r="T17" s="6" t="s">
        <v>52</v>
      </c>
      <c r="U17" s="41"/>
      <c r="V17" s="6">
        <v>1.9800000000000002E-2</v>
      </c>
      <c r="W17" s="7">
        <f t="shared" si="22"/>
        <v>0</v>
      </c>
      <c r="X17" s="6" t="s">
        <v>52</v>
      </c>
      <c r="Y17" s="41"/>
      <c r="Z17" s="6">
        <v>1.9800000000000002E-2</v>
      </c>
      <c r="AA17" s="7">
        <f t="shared" si="23"/>
        <v>0</v>
      </c>
    </row>
    <row r="18" spans="1:61" x14ac:dyDescent="0.25">
      <c r="B18" s="17" t="s">
        <v>14</v>
      </c>
      <c r="C18" s="18" t="s">
        <v>13</v>
      </c>
      <c r="D18" s="9" t="s">
        <v>51</v>
      </c>
      <c r="E18" s="42"/>
      <c r="F18" s="9">
        <v>5.0099999999999999E-2</v>
      </c>
      <c r="G18" s="10">
        <f t="shared" si="18"/>
        <v>0</v>
      </c>
      <c r="H18" s="9" t="s">
        <v>51</v>
      </c>
      <c r="I18" s="42"/>
      <c r="J18" s="9">
        <v>5.0099999999999999E-2</v>
      </c>
      <c r="K18" s="10">
        <f t="shared" si="19"/>
        <v>0</v>
      </c>
      <c r="L18" s="9" t="s">
        <v>51</v>
      </c>
      <c r="M18" s="42"/>
      <c r="N18" s="9">
        <v>5.0099999999999999E-2</v>
      </c>
      <c r="O18" s="10">
        <f t="shared" si="20"/>
        <v>0</v>
      </c>
      <c r="P18" s="9" t="s">
        <v>51</v>
      </c>
      <c r="Q18" s="42"/>
      <c r="R18" s="9">
        <v>5.0099999999999999E-2</v>
      </c>
      <c r="S18" s="10">
        <f t="shared" si="21"/>
        <v>0</v>
      </c>
      <c r="T18" s="9" t="s">
        <v>51</v>
      </c>
      <c r="U18" s="42"/>
      <c r="V18" s="9">
        <v>5.0099999999999999E-2</v>
      </c>
      <c r="W18" s="10">
        <f t="shared" si="22"/>
        <v>0</v>
      </c>
      <c r="X18" s="9" t="s">
        <v>51</v>
      </c>
      <c r="Y18" s="42"/>
      <c r="Z18" s="9">
        <v>5.0099999999999999E-2</v>
      </c>
      <c r="AA18" s="10">
        <f t="shared" si="23"/>
        <v>0</v>
      </c>
    </row>
    <row r="19" spans="1:61" x14ac:dyDescent="0.25">
      <c r="B19" s="15" t="s">
        <v>16</v>
      </c>
      <c r="C19" s="16" t="s">
        <v>15</v>
      </c>
      <c r="D19" s="6" t="s">
        <v>52</v>
      </c>
      <c r="E19" s="41"/>
      <c r="F19" s="6">
        <v>1.9800000000000002E-2</v>
      </c>
      <c r="G19" s="7">
        <f>+E19*F19</f>
        <v>0</v>
      </c>
      <c r="H19" s="6" t="s">
        <v>52</v>
      </c>
      <c r="I19" s="41"/>
      <c r="J19" s="6">
        <v>1.9800000000000002E-2</v>
      </c>
      <c r="K19" s="7">
        <f>+I19*J19</f>
        <v>0</v>
      </c>
      <c r="L19" s="6" t="s">
        <v>52</v>
      </c>
      <c r="M19" s="41"/>
      <c r="N19" s="6">
        <v>1.9800000000000002E-2</v>
      </c>
      <c r="O19" s="7">
        <f>+M19*N19</f>
        <v>0</v>
      </c>
      <c r="P19" s="6" t="s">
        <v>52</v>
      </c>
      <c r="Q19" s="41"/>
      <c r="R19" s="6">
        <v>1.9800000000000002E-2</v>
      </c>
      <c r="S19" s="7">
        <f>+Q19*R19</f>
        <v>0</v>
      </c>
      <c r="T19" s="6" t="s">
        <v>52</v>
      </c>
      <c r="U19" s="41"/>
      <c r="V19" s="6">
        <v>1.9800000000000002E-2</v>
      </c>
      <c r="W19" s="7">
        <f>+U19*V19</f>
        <v>0</v>
      </c>
      <c r="X19" s="6" t="s">
        <v>52</v>
      </c>
      <c r="Y19" s="41"/>
      <c r="Z19" s="6">
        <v>1.9800000000000002E-2</v>
      </c>
      <c r="AA19" s="7">
        <f>+Y19*Z19</f>
        <v>0</v>
      </c>
    </row>
    <row r="20" spans="1:61" x14ac:dyDescent="0.25">
      <c r="B20" s="17" t="s">
        <v>16</v>
      </c>
      <c r="C20" s="18" t="s">
        <v>15</v>
      </c>
      <c r="D20" s="9" t="s">
        <v>51</v>
      </c>
      <c r="E20" s="42"/>
      <c r="F20" s="9">
        <v>5.0099999999999999E-2</v>
      </c>
      <c r="G20" s="10">
        <f t="shared" ref="G20" si="24">+E20*F20</f>
        <v>0</v>
      </c>
      <c r="H20" s="9" t="s">
        <v>51</v>
      </c>
      <c r="I20" s="42"/>
      <c r="J20" s="9">
        <v>5.0099999999999999E-2</v>
      </c>
      <c r="K20" s="10">
        <f t="shared" ref="K20" si="25">+I20*J20</f>
        <v>0</v>
      </c>
      <c r="L20" s="9" t="s">
        <v>51</v>
      </c>
      <c r="M20" s="42"/>
      <c r="N20" s="9">
        <v>5.0099999999999999E-2</v>
      </c>
      <c r="O20" s="10">
        <f t="shared" ref="O20" si="26">+M20*N20</f>
        <v>0</v>
      </c>
      <c r="P20" s="9" t="s">
        <v>51</v>
      </c>
      <c r="Q20" s="42"/>
      <c r="R20" s="9">
        <v>5.0099999999999999E-2</v>
      </c>
      <c r="S20" s="10">
        <f t="shared" ref="S20" si="27">+Q20*R20</f>
        <v>0</v>
      </c>
      <c r="T20" s="9" t="s">
        <v>51</v>
      </c>
      <c r="U20" s="42"/>
      <c r="V20" s="9">
        <v>5.0099999999999999E-2</v>
      </c>
      <c r="W20" s="10">
        <f t="shared" ref="W20" si="28">+U20*V20</f>
        <v>0</v>
      </c>
      <c r="X20" s="9" t="s">
        <v>51</v>
      </c>
      <c r="Y20" s="42"/>
      <c r="Z20" s="9">
        <v>5.0099999999999999E-2</v>
      </c>
      <c r="AA20" s="10">
        <f t="shared" ref="AA20" si="29">+Y20*Z20</f>
        <v>0</v>
      </c>
    </row>
    <row r="21" spans="1:61" x14ac:dyDescent="0.25">
      <c r="B21" s="15" t="s">
        <v>18</v>
      </c>
      <c r="C21" s="16" t="s">
        <v>17</v>
      </c>
      <c r="D21" s="6" t="s">
        <v>52</v>
      </c>
      <c r="E21" s="41"/>
      <c r="F21" s="6">
        <v>1.9800000000000002E-2</v>
      </c>
      <c r="G21" s="7">
        <f>+E21*F21</f>
        <v>0</v>
      </c>
      <c r="H21" s="6" t="s">
        <v>52</v>
      </c>
      <c r="I21" s="41"/>
      <c r="J21" s="6">
        <v>1.9800000000000002E-2</v>
      </c>
      <c r="K21" s="7">
        <f>+I21*J21</f>
        <v>0</v>
      </c>
      <c r="L21" s="6" t="s">
        <v>52</v>
      </c>
      <c r="M21" s="41"/>
      <c r="N21" s="6">
        <v>1.9800000000000002E-2</v>
      </c>
      <c r="O21" s="7">
        <f>+M21*N21</f>
        <v>0</v>
      </c>
      <c r="P21" s="6" t="s">
        <v>52</v>
      </c>
      <c r="Q21" s="41"/>
      <c r="R21" s="6">
        <v>1.9800000000000002E-2</v>
      </c>
      <c r="S21" s="7">
        <f>+Q21*R21</f>
        <v>0</v>
      </c>
      <c r="T21" s="6" t="s">
        <v>52</v>
      </c>
      <c r="U21" s="41"/>
      <c r="V21" s="6">
        <v>1.9800000000000002E-2</v>
      </c>
      <c r="W21" s="7">
        <f>+U21*V21</f>
        <v>0</v>
      </c>
      <c r="X21" s="6" t="s">
        <v>52</v>
      </c>
      <c r="Y21" s="41"/>
      <c r="Z21" s="6">
        <v>1.9800000000000002E-2</v>
      </c>
      <c r="AA21" s="7">
        <f>+Y21*Z21</f>
        <v>0</v>
      </c>
    </row>
    <row r="22" spans="1:61" x14ac:dyDescent="0.25">
      <c r="B22" s="17" t="s">
        <v>18</v>
      </c>
      <c r="C22" s="18" t="s">
        <v>17</v>
      </c>
      <c r="D22" s="9" t="s">
        <v>51</v>
      </c>
      <c r="E22" s="42"/>
      <c r="F22" s="9">
        <v>5.0099999999999999E-2</v>
      </c>
      <c r="G22" s="10">
        <f t="shared" ref="G22" si="30">+E22*F22</f>
        <v>0</v>
      </c>
      <c r="H22" s="9" t="s">
        <v>51</v>
      </c>
      <c r="I22" s="42"/>
      <c r="J22" s="9">
        <v>5.0099999999999999E-2</v>
      </c>
      <c r="K22" s="10">
        <f t="shared" ref="K22" si="31">+I22*J22</f>
        <v>0</v>
      </c>
      <c r="L22" s="9" t="s">
        <v>51</v>
      </c>
      <c r="M22" s="42"/>
      <c r="N22" s="9">
        <v>5.0099999999999999E-2</v>
      </c>
      <c r="O22" s="10">
        <f t="shared" ref="O22" si="32">+M22*N22</f>
        <v>0</v>
      </c>
      <c r="P22" s="9" t="s">
        <v>51</v>
      </c>
      <c r="Q22" s="42"/>
      <c r="R22" s="9">
        <v>5.0099999999999999E-2</v>
      </c>
      <c r="S22" s="10">
        <f t="shared" ref="S22" si="33">+Q22*R22</f>
        <v>0</v>
      </c>
      <c r="T22" s="9" t="s">
        <v>51</v>
      </c>
      <c r="U22" s="42"/>
      <c r="V22" s="9">
        <v>5.0099999999999999E-2</v>
      </c>
      <c r="W22" s="10">
        <f t="shared" ref="W22" si="34">+U22*V22</f>
        <v>0</v>
      </c>
      <c r="X22" s="9" t="s">
        <v>51</v>
      </c>
      <c r="Y22" s="42"/>
      <c r="Z22" s="9">
        <v>5.0099999999999999E-2</v>
      </c>
      <c r="AA22" s="10">
        <f t="shared" ref="AA22" si="35">+Y22*Z22</f>
        <v>0</v>
      </c>
    </row>
    <row r="23" spans="1:61" s="54" customFormat="1" x14ac:dyDescent="0.25">
      <c r="A23" s="48"/>
      <c r="B23" s="49" t="s">
        <v>20</v>
      </c>
      <c r="C23" s="50" t="s">
        <v>19</v>
      </c>
      <c r="D23" s="51" t="s">
        <v>52</v>
      </c>
      <c r="E23" s="52"/>
      <c r="F23" s="51">
        <v>1.9800000000000002E-2</v>
      </c>
      <c r="G23" s="53">
        <f>+E23*F23</f>
        <v>0</v>
      </c>
      <c r="H23" s="51" t="s">
        <v>52</v>
      </c>
      <c r="I23" s="52"/>
      <c r="J23" s="51">
        <v>1.9800000000000002E-2</v>
      </c>
      <c r="K23" s="53">
        <f>+I23*J23</f>
        <v>0</v>
      </c>
      <c r="L23" s="51" t="s">
        <v>52</v>
      </c>
      <c r="M23" s="52"/>
      <c r="N23" s="51">
        <v>1.9800000000000002E-2</v>
      </c>
      <c r="O23" s="53">
        <f>+M23*N23</f>
        <v>0</v>
      </c>
      <c r="P23" s="51" t="s">
        <v>52</v>
      </c>
      <c r="Q23" s="52"/>
      <c r="R23" s="51">
        <v>1.9800000000000002E-2</v>
      </c>
      <c r="S23" s="53">
        <f>+Q23*R23</f>
        <v>0</v>
      </c>
      <c r="T23" s="51" t="s">
        <v>52</v>
      </c>
      <c r="U23" s="52"/>
      <c r="V23" s="51">
        <v>1.9800000000000002E-2</v>
      </c>
      <c r="W23" s="53">
        <f>+U23*V23</f>
        <v>0</v>
      </c>
      <c r="X23" s="51" t="s">
        <v>52</v>
      </c>
      <c r="Y23" s="52"/>
      <c r="Z23" s="51">
        <v>1.9800000000000002E-2</v>
      </c>
      <c r="AA23" s="53">
        <f>+Y23*Z23</f>
        <v>0</v>
      </c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</row>
    <row r="24" spans="1:61" s="54" customFormat="1" x14ac:dyDescent="0.25">
      <c r="A24" s="48"/>
      <c r="B24" s="55" t="s">
        <v>20</v>
      </c>
      <c r="C24" s="56" t="s">
        <v>19</v>
      </c>
      <c r="D24" s="57" t="s">
        <v>51</v>
      </c>
      <c r="E24" s="58"/>
      <c r="F24" s="57">
        <v>5.0099999999999999E-2</v>
      </c>
      <c r="G24" s="59">
        <f t="shared" ref="G24" si="36">+E24*F24</f>
        <v>0</v>
      </c>
      <c r="H24" s="57" t="s">
        <v>51</v>
      </c>
      <c r="I24" s="58"/>
      <c r="J24" s="57">
        <v>5.0099999999999999E-2</v>
      </c>
      <c r="K24" s="59">
        <f t="shared" ref="K24" si="37">+I24*J24</f>
        <v>0</v>
      </c>
      <c r="L24" s="57" t="s">
        <v>51</v>
      </c>
      <c r="M24" s="58"/>
      <c r="N24" s="57">
        <v>5.0099999999999999E-2</v>
      </c>
      <c r="O24" s="59">
        <f t="shared" ref="O24" si="38">+M24*N24</f>
        <v>0</v>
      </c>
      <c r="P24" s="57" t="s">
        <v>51</v>
      </c>
      <c r="Q24" s="58"/>
      <c r="R24" s="57">
        <v>5.0099999999999999E-2</v>
      </c>
      <c r="S24" s="59">
        <f t="shared" ref="S24" si="39">+Q24*R24</f>
        <v>0</v>
      </c>
      <c r="T24" s="57" t="s">
        <v>51</v>
      </c>
      <c r="U24" s="58"/>
      <c r="V24" s="57">
        <v>5.0099999999999999E-2</v>
      </c>
      <c r="W24" s="59">
        <f t="shared" ref="W24" si="40">+U24*V24</f>
        <v>0</v>
      </c>
      <c r="X24" s="57" t="s">
        <v>51</v>
      </c>
      <c r="Y24" s="58"/>
      <c r="Z24" s="57">
        <v>5.0099999999999999E-2</v>
      </c>
      <c r="AA24" s="59">
        <f t="shared" ref="AA24" si="41">+Y24*Z24</f>
        <v>0</v>
      </c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</row>
    <row r="25" spans="1:61" x14ac:dyDescent="0.25">
      <c r="B25" s="15" t="s">
        <v>22</v>
      </c>
      <c r="C25" s="16" t="s">
        <v>21</v>
      </c>
      <c r="D25" s="6" t="s">
        <v>52</v>
      </c>
      <c r="E25" s="41"/>
      <c r="F25" s="6">
        <v>1.9800000000000002E-2</v>
      </c>
      <c r="G25" s="7">
        <f>+E25*F25</f>
        <v>0</v>
      </c>
      <c r="H25" s="6" t="s">
        <v>52</v>
      </c>
      <c r="I25" s="41"/>
      <c r="J25" s="6">
        <v>1.9800000000000002E-2</v>
      </c>
      <c r="K25" s="7">
        <f>+I25*J25</f>
        <v>0</v>
      </c>
      <c r="L25" s="6" t="s">
        <v>52</v>
      </c>
      <c r="M25" s="41"/>
      <c r="N25" s="6">
        <v>1.9800000000000002E-2</v>
      </c>
      <c r="O25" s="7">
        <f>+M25*N25</f>
        <v>0</v>
      </c>
      <c r="P25" s="6" t="s">
        <v>52</v>
      </c>
      <c r="Q25" s="41"/>
      <c r="R25" s="6">
        <v>1.9800000000000002E-2</v>
      </c>
      <c r="S25" s="7">
        <f>+Q25*R25</f>
        <v>0</v>
      </c>
      <c r="T25" s="6" t="s">
        <v>52</v>
      </c>
      <c r="U25" s="41"/>
      <c r="V25" s="6">
        <v>1.9800000000000002E-2</v>
      </c>
      <c r="W25" s="7">
        <f>+U25*V25</f>
        <v>0</v>
      </c>
      <c r="X25" s="6" t="s">
        <v>52</v>
      </c>
      <c r="Y25" s="41"/>
      <c r="Z25" s="6">
        <v>1.9800000000000002E-2</v>
      </c>
      <c r="AA25" s="7">
        <f>+Y25*Z25</f>
        <v>0</v>
      </c>
    </row>
    <row r="26" spans="1:61" x14ac:dyDescent="0.25">
      <c r="B26" s="17" t="s">
        <v>22</v>
      </c>
      <c r="C26" s="18" t="s">
        <v>21</v>
      </c>
      <c r="D26" s="9" t="s">
        <v>51</v>
      </c>
      <c r="E26" s="42"/>
      <c r="F26" s="9">
        <v>5.0099999999999999E-2</v>
      </c>
      <c r="G26" s="10">
        <f t="shared" ref="G26" si="42">+E26*F26</f>
        <v>0</v>
      </c>
      <c r="H26" s="9" t="s">
        <v>51</v>
      </c>
      <c r="I26" s="42"/>
      <c r="J26" s="9">
        <v>5.0099999999999999E-2</v>
      </c>
      <c r="K26" s="10">
        <f t="shared" ref="K26" si="43">+I26*J26</f>
        <v>0</v>
      </c>
      <c r="L26" s="9" t="s">
        <v>51</v>
      </c>
      <c r="M26" s="42"/>
      <c r="N26" s="9">
        <v>5.0099999999999999E-2</v>
      </c>
      <c r="O26" s="10">
        <f t="shared" ref="O26" si="44">+M26*N26</f>
        <v>0</v>
      </c>
      <c r="P26" s="9" t="s">
        <v>51</v>
      </c>
      <c r="Q26" s="42"/>
      <c r="R26" s="9">
        <v>5.0099999999999999E-2</v>
      </c>
      <c r="S26" s="10">
        <f t="shared" ref="S26" si="45">+Q26*R26</f>
        <v>0</v>
      </c>
      <c r="T26" s="9" t="s">
        <v>51</v>
      </c>
      <c r="U26" s="42"/>
      <c r="V26" s="9">
        <v>5.0099999999999999E-2</v>
      </c>
      <c r="W26" s="10">
        <f t="shared" ref="W26" si="46">+U26*V26</f>
        <v>0</v>
      </c>
      <c r="X26" s="9" t="s">
        <v>51</v>
      </c>
      <c r="Y26" s="42"/>
      <c r="Z26" s="9">
        <v>5.0099999999999999E-2</v>
      </c>
      <c r="AA26" s="10">
        <f t="shared" ref="AA26" si="47">+Y26*Z26</f>
        <v>0</v>
      </c>
    </row>
    <row r="27" spans="1:61" x14ac:dyDescent="0.25">
      <c r="A27" s="1" t="s">
        <v>12</v>
      </c>
      <c r="B27" s="11" t="s">
        <v>23</v>
      </c>
      <c r="C27" s="12" t="s">
        <v>10</v>
      </c>
      <c r="D27" s="6" t="s">
        <v>52</v>
      </c>
      <c r="E27" s="41"/>
      <c r="F27" s="6">
        <v>1.9800000000000002E-2</v>
      </c>
      <c r="G27" s="7">
        <f>+E27*F27</f>
        <v>0</v>
      </c>
      <c r="H27" s="6" t="s">
        <v>52</v>
      </c>
      <c r="I27" s="41"/>
      <c r="J27" s="6">
        <v>1.9800000000000002E-2</v>
      </c>
      <c r="K27" s="7">
        <f>+I27*J27</f>
        <v>0</v>
      </c>
      <c r="L27" s="6" t="s">
        <v>52</v>
      </c>
      <c r="M27" s="41"/>
      <c r="N27" s="6">
        <v>1.9800000000000002E-2</v>
      </c>
      <c r="O27" s="7">
        <f>+M27*N27</f>
        <v>0</v>
      </c>
      <c r="P27" s="6" t="s">
        <v>52</v>
      </c>
      <c r="Q27" s="41"/>
      <c r="R27" s="6">
        <v>1.9800000000000002E-2</v>
      </c>
      <c r="S27" s="7">
        <f>+Q27*R27</f>
        <v>0</v>
      </c>
      <c r="T27" s="6" t="s">
        <v>52</v>
      </c>
      <c r="U27" s="41"/>
      <c r="V27" s="6">
        <v>1.9800000000000002E-2</v>
      </c>
      <c r="W27" s="7">
        <f>+U27*V27</f>
        <v>0</v>
      </c>
      <c r="X27" s="6" t="s">
        <v>52</v>
      </c>
      <c r="Y27" s="41"/>
      <c r="Z27" s="6">
        <v>1.9800000000000002E-2</v>
      </c>
      <c r="AA27" s="7">
        <f>+Y27*Z27</f>
        <v>0</v>
      </c>
    </row>
    <row r="28" spans="1:61" x14ac:dyDescent="0.25">
      <c r="A28" s="1" t="s">
        <v>12</v>
      </c>
      <c r="B28" s="13" t="s">
        <v>23</v>
      </c>
      <c r="C28" s="14" t="s">
        <v>10</v>
      </c>
      <c r="D28" s="9" t="s">
        <v>51</v>
      </c>
      <c r="E28" s="42"/>
      <c r="F28" s="9">
        <v>5.0099999999999999E-2</v>
      </c>
      <c r="G28" s="10">
        <f t="shared" ref="G28:G32" si="48">+E28*F28</f>
        <v>0</v>
      </c>
      <c r="H28" s="9" t="s">
        <v>51</v>
      </c>
      <c r="I28" s="42"/>
      <c r="J28" s="9">
        <v>5.0099999999999999E-2</v>
      </c>
      <c r="K28" s="10">
        <f t="shared" ref="K28:K32" si="49">+I28*J28</f>
        <v>0</v>
      </c>
      <c r="L28" s="9" t="s">
        <v>51</v>
      </c>
      <c r="M28" s="42"/>
      <c r="N28" s="9">
        <v>5.0099999999999999E-2</v>
      </c>
      <c r="O28" s="10">
        <f t="shared" ref="O28:O32" si="50">+M28*N28</f>
        <v>0</v>
      </c>
      <c r="P28" s="9" t="s">
        <v>51</v>
      </c>
      <c r="Q28" s="42"/>
      <c r="R28" s="9">
        <v>5.0099999999999999E-2</v>
      </c>
      <c r="S28" s="10">
        <f t="shared" ref="S28:S32" si="51">+Q28*R28</f>
        <v>0</v>
      </c>
      <c r="T28" s="9" t="s">
        <v>51</v>
      </c>
      <c r="U28" s="42"/>
      <c r="V28" s="9">
        <v>5.0099999999999999E-2</v>
      </c>
      <c r="W28" s="10">
        <f t="shared" ref="W28:W32" si="52">+U28*V28</f>
        <v>0</v>
      </c>
      <c r="X28" s="9" t="s">
        <v>51</v>
      </c>
      <c r="Y28" s="42"/>
      <c r="Z28" s="9">
        <v>5.0099999999999999E-2</v>
      </c>
      <c r="AA28" s="10">
        <f t="shared" ref="AA28:AA32" si="53">+Y28*Z28</f>
        <v>0</v>
      </c>
    </row>
    <row r="29" spans="1:61" x14ac:dyDescent="0.25">
      <c r="B29" s="15" t="s">
        <v>25</v>
      </c>
      <c r="C29" s="16" t="s">
        <v>24</v>
      </c>
      <c r="D29" s="6" t="s">
        <v>52</v>
      </c>
      <c r="E29" s="41"/>
      <c r="F29" s="6">
        <v>1.9800000000000002E-2</v>
      </c>
      <c r="G29" s="7">
        <f t="shared" si="48"/>
        <v>0</v>
      </c>
      <c r="H29" s="6" t="s">
        <v>52</v>
      </c>
      <c r="I29" s="41"/>
      <c r="J29" s="6">
        <v>1.9800000000000002E-2</v>
      </c>
      <c r="K29" s="7">
        <f t="shared" si="49"/>
        <v>0</v>
      </c>
      <c r="L29" s="6" t="s">
        <v>52</v>
      </c>
      <c r="M29" s="41"/>
      <c r="N29" s="6">
        <v>1.9800000000000002E-2</v>
      </c>
      <c r="O29" s="7">
        <f t="shared" si="50"/>
        <v>0</v>
      </c>
      <c r="P29" s="6" t="s">
        <v>52</v>
      </c>
      <c r="Q29" s="41"/>
      <c r="R29" s="6">
        <v>1.9800000000000002E-2</v>
      </c>
      <c r="S29" s="7">
        <f t="shared" si="51"/>
        <v>0</v>
      </c>
      <c r="T29" s="6" t="s">
        <v>52</v>
      </c>
      <c r="U29" s="41"/>
      <c r="V29" s="6">
        <v>1.9800000000000002E-2</v>
      </c>
      <c r="W29" s="7">
        <f t="shared" si="52"/>
        <v>0</v>
      </c>
      <c r="X29" s="6" t="s">
        <v>52</v>
      </c>
      <c r="Y29" s="41"/>
      <c r="Z29" s="6">
        <v>1.9800000000000002E-2</v>
      </c>
      <c r="AA29" s="7">
        <f t="shared" si="53"/>
        <v>0</v>
      </c>
    </row>
    <row r="30" spans="1:61" x14ac:dyDescent="0.25">
      <c r="B30" s="17" t="s">
        <v>25</v>
      </c>
      <c r="C30" s="18" t="s">
        <v>24</v>
      </c>
      <c r="D30" s="9" t="s">
        <v>51</v>
      </c>
      <c r="E30" s="42"/>
      <c r="F30" s="9">
        <v>5.0099999999999999E-2</v>
      </c>
      <c r="G30" s="10">
        <f t="shared" si="48"/>
        <v>0</v>
      </c>
      <c r="H30" s="9" t="s">
        <v>51</v>
      </c>
      <c r="I30" s="42"/>
      <c r="J30" s="9">
        <v>5.0099999999999999E-2</v>
      </c>
      <c r="K30" s="10">
        <f t="shared" si="49"/>
        <v>0</v>
      </c>
      <c r="L30" s="9" t="s">
        <v>51</v>
      </c>
      <c r="M30" s="42"/>
      <c r="N30" s="9">
        <v>5.0099999999999999E-2</v>
      </c>
      <c r="O30" s="10">
        <f t="shared" si="50"/>
        <v>0</v>
      </c>
      <c r="P30" s="9" t="s">
        <v>51</v>
      </c>
      <c r="Q30" s="42"/>
      <c r="R30" s="9">
        <v>5.0099999999999999E-2</v>
      </c>
      <c r="S30" s="10">
        <f t="shared" si="51"/>
        <v>0</v>
      </c>
      <c r="T30" s="9" t="s">
        <v>51</v>
      </c>
      <c r="U30" s="42"/>
      <c r="V30" s="9">
        <v>5.0099999999999999E-2</v>
      </c>
      <c r="W30" s="10">
        <f t="shared" si="52"/>
        <v>0</v>
      </c>
      <c r="X30" s="9" t="s">
        <v>51</v>
      </c>
      <c r="Y30" s="42"/>
      <c r="Z30" s="9">
        <v>5.0099999999999999E-2</v>
      </c>
      <c r="AA30" s="10">
        <f t="shared" si="53"/>
        <v>0</v>
      </c>
    </row>
    <row r="31" spans="1:61" x14ac:dyDescent="0.25">
      <c r="B31" s="15" t="s">
        <v>27</v>
      </c>
      <c r="C31" s="16" t="s">
        <v>26</v>
      </c>
      <c r="D31" s="6" t="s">
        <v>52</v>
      </c>
      <c r="E31" s="41"/>
      <c r="F31" s="6">
        <v>1.9800000000000002E-2</v>
      </c>
      <c r="G31" s="7">
        <f t="shared" si="48"/>
        <v>0</v>
      </c>
      <c r="H31" s="6" t="s">
        <v>52</v>
      </c>
      <c r="I31" s="41"/>
      <c r="J31" s="6">
        <v>1.9800000000000002E-2</v>
      </c>
      <c r="K31" s="7">
        <f t="shared" si="49"/>
        <v>0</v>
      </c>
      <c r="L31" s="6" t="s">
        <v>52</v>
      </c>
      <c r="M31" s="41"/>
      <c r="N31" s="6">
        <v>1.9800000000000002E-2</v>
      </c>
      <c r="O31" s="7">
        <f t="shared" si="50"/>
        <v>0</v>
      </c>
      <c r="P31" s="6" t="s">
        <v>52</v>
      </c>
      <c r="Q31" s="41"/>
      <c r="R31" s="6">
        <v>1.9800000000000002E-2</v>
      </c>
      <c r="S31" s="7">
        <f t="shared" si="51"/>
        <v>0</v>
      </c>
      <c r="T31" s="6" t="s">
        <v>52</v>
      </c>
      <c r="U31" s="41"/>
      <c r="V31" s="6">
        <v>1.9800000000000002E-2</v>
      </c>
      <c r="W31" s="7">
        <f t="shared" si="52"/>
        <v>0</v>
      </c>
      <c r="X31" s="6" t="s">
        <v>52</v>
      </c>
      <c r="Y31" s="41"/>
      <c r="Z31" s="6">
        <v>1.9800000000000002E-2</v>
      </c>
      <c r="AA31" s="7">
        <f t="shared" si="53"/>
        <v>0</v>
      </c>
    </row>
    <row r="32" spans="1:61" x14ac:dyDescent="0.25">
      <c r="B32" s="17" t="s">
        <v>27</v>
      </c>
      <c r="C32" s="18" t="s">
        <v>26</v>
      </c>
      <c r="D32" s="9" t="s">
        <v>51</v>
      </c>
      <c r="E32" s="42"/>
      <c r="F32" s="9">
        <v>5.0099999999999999E-2</v>
      </c>
      <c r="G32" s="10">
        <f t="shared" si="48"/>
        <v>0</v>
      </c>
      <c r="H32" s="9" t="s">
        <v>51</v>
      </c>
      <c r="I32" s="42"/>
      <c r="J32" s="9">
        <v>5.0099999999999999E-2</v>
      </c>
      <c r="K32" s="10">
        <f t="shared" si="49"/>
        <v>0</v>
      </c>
      <c r="L32" s="9" t="s">
        <v>51</v>
      </c>
      <c r="M32" s="42"/>
      <c r="N32" s="9">
        <v>5.0099999999999999E-2</v>
      </c>
      <c r="O32" s="10">
        <f t="shared" si="50"/>
        <v>0</v>
      </c>
      <c r="P32" s="9" t="s">
        <v>51</v>
      </c>
      <c r="Q32" s="42"/>
      <c r="R32" s="9">
        <v>5.0099999999999999E-2</v>
      </c>
      <c r="S32" s="10">
        <f t="shared" si="51"/>
        <v>0</v>
      </c>
      <c r="T32" s="9" t="s">
        <v>51</v>
      </c>
      <c r="U32" s="42"/>
      <c r="V32" s="9">
        <v>5.0099999999999999E-2</v>
      </c>
      <c r="W32" s="10">
        <f t="shared" si="52"/>
        <v>0</v>
      </c>
      <c r="X32" s="9" t="s">
        <v>51</v>
      </c>
      <c r="Y32" s="42"/>
      <c r="Z32" s="9">
        <v>5.0099999999999999E-2</v>
      </c>
      <c r="AA32" s="10">
        <f t="shared" si="53"/>
        <v>0</v>
      </c>
    </row>
    <row r="33" spans="1:61" x14ac:dyDescent="0.25">
      <c r="A33" s="1" t="s">
        <v>12</v>
      </c>
      <c r="B33" s="11" t="s">
        <v>28</v>
      </c>
      <c r="C33" s="12" t="s">
        <v>10</v>
      </c>
      <c r="D33" s="6" t="s">
        <v>52</v>
      </c>
      <c r="E33" s="41"/>
      <c r="F33" s="6">
        <v>1.9800000000000002E-2</v>
      </c>
      <c r="G33" s="7">
        <f>+E33*F33</f>
        <v>0</v>
      </c>
      <c r="H33" s="6" t="s">
        <v>52</v>
      </c>
      <c r="I33" s="41"/>
      <c r="J33" s="6">
        <v>1.9800000000000002E-2</v>
      </c>
      <c r="K33" s="7">
        <f>+I33*J33</f>
        <v>0</v>
      </c>
      <c r="L33" s="6" t="s">
        <v>52</v>
      </c>
      <c r="M33" s="41"/>
      <c r="N33" s="6">
        <v>1.9800000000000002E-2</v>
      </c>
      <c r="O33" s="7">
        <f>+M33*N33</f>
        <v>0</v>
      </c>
      <c r="P33" s="6" t="s">
        <v>52</v>
      </c>
      <c r="Q33" s="41"/>
      <c r="R33" s="6">
        <v>1.9800000000000002E-2</v>
      </c>
      <c r="S33" s="7">
        <f>+Q33*R33</f>
        <v>0</v>
      </c>
      <c r="T33" s="6" t="s">
        <v>52</v>
      </c>
      <c r="U33" s="41"/>
      <c r="V33" s="6">
        <v>1.9800000000000002E-2</v>
      </c>
      <c r="W33" s="7">
        <f>+U33*V33</f>
        <v>0</v>
      </c>
      <c r="X33" s="6" t="s">
        <v>52</v>
      </c>
      <c r="Y33" s="41"/>
      <c r="Z33" s="6">
        <v>1.9800000000000002E-2</v>
      </c>
      <c r="AA33" s="7">
        <f>+Y33*Z33</f>
        <v>0</v>
      </c>
    </row>
    <row r="34" spans="1:61" x14ac:dyDescent="0.25">
      <c r="A34" s="1" t="s">
        <v>12</v>
      </c>
      <c r="B34" s="13" t="s">
        <v>28</v>
      </c>
      <c r="C34" s="14" t="s">
        <v>10</v>
      </c>
      <c r="D34" s="9" t="s">
        <v>51</v>
      </c>
      <c r="E34" s="42"/>
      <c r="F34" s="9">
        <v>5.0099999999999999E-2</v>
      </c>
      <c r="G34" s="10">
        <f t="shared" ref="G34:G40" si="54">+E34*F34</f>
        <v>0</v>
      </c>
      <c r="H34" s="9" t="s">
        <v>51</v>
      </c>
      <c r="I34" s="42"/>
      <c r="J34" s="9">
        <v>5.0099999999999999E-2</v>
      </c>
      <c r="K34" s="10">
        <f t="shared" ref="K34:K40" si="55">+I34*J34</f>
        <v>0</v>
      </c>
      <c r="L34" s="9" t="s">
        <v>51</v>
      </c>
      <c r="M34" s="42"/>
      <c r="N34" s="9">
        <v>5.0099999999999999E-2</v>
      </c>
      <c r="O34" s="10">
        <f t="shared" ref="O34:O40" si="56">+M34*N34</f>
        <v>0</v>
      </c>
      <c r="P34" s="9" t="s">
        <v>51</v>
      </c>
      <c r="Q34" s="42"/>
      <c r="R34" s="9">
        <v>5.0099999999999999E-2</v>
      </c>
      <c r="S34" s="10">
        <f t="shared" ref="S34:S40" si="57">+Q34*R34</f>
        <v>0</v>
      </c>
      <c r="T34" s="9" t="s">
        <v>51</v>
      </c>
      <c r="U34" s="42"/>
      <c r="V34" s="9">
        <v>5.0099999999999999E-2</v>
      </c>
      <c r="W34" s="10">
        <f t="shared" ref="W34:W40" si="58">+U34*V34</f>
        <v>0</v>
      </c>
      <c r="X34" s="9" t="s">
        <v>51</v>
      </c>
      <c r="Y34" s="42"/>
      <c r="Z34" s="9">
        <v>5.0099999999999999E-2</v>
      </c>
      <c r="AA34" s="10">
        <f t="shared" ref="AA34:AA40" si="59">+Y34*Z34</f>
        <v>0</v>
      </c>
    </row>
    <row r="35" spans="1:61" x14ac:dyDescent="0.25">
      <c r="B35" s="15" t="s">
        <v>30</v>
      </c>
      <c r="C35" s="16" t="s">
        <v>29</v>
      </c>
      <c r="D35" s="6" t="s">
        <v>52</v>
      </c>
      <c r="E35" s="41"/>
      <c r="F35" s="6">
        <v>1.9800000000000002E-2</v>
      </c>
      <c r="G35" s="7">
        <f t="shared" si="54"/>
        <v>0</v>
      </c>
      <c r="H35" s="6" t="s">
        <v>52</v>
      </c>
      <c r="I35" s="41"/>
      <c r="J35" s="6">
        <v>1.9800000000000002E-2</v>
      </c>
      <c r="K35" s="7">
        <f t="shared" si="55"/>
        <v>0</v>
      </c>
      <c r="L35" s="6" t="s">
        <v>52</v>
      </c>
      <c r="M35" s="41"/>
      <c r="N35" s="6">
        <v>1.9800000000000002E-2</v>
      </c>
      <c r="O35" s="7">
        <f t="shared" si="56"/>
        <v>0</v>
      </c>
      <c r="P35" s="6" t="s">
        <v>52</v>
      </c>
      <c r="Q35" s="41"/>
      <c r="R35" s="6">
        <v>1.9800000000000002E-2</v>
      </c>
      <c r="S35" s="7">
        <f t="shared" si="57"/>
        <v>0</v>
      </c>
      <c r="T35" s="6" t="s">
        <v>52</v>
      </c>
      <c r="U35" s="41"/>
      <c r="V35" s="6">
        <v>1.9800000000000002E-2</v>
      </c>
      <c r="W35" s="7">
        <f t="shared" si="58"/>
        <v>0</v>
      </c>
      <c r="X35" s="6" t="s">
        <v>52</v>
      </c>
      <c r="Y35" s="41"/>
      <c r="Z35" s="6">
        <v>1.9800000000000002E-2</v>
      </c>
      <c r="AA35" s="7">
        <f t="shared" si="59"/>
        <v>0</v>
      </c>
    </row>
    <row r="36" spans="1:61" x14ac:dyDescent="0.25">
      <c r="B36" s="17" t="s">
        <v>30</v>
      </c>
      <c r="C36" s="18" t="s">
        <v>29</v>
      </c>
      <c r="D36" s="9" t="s">
        <v>51</v>
      </c>
      <c r="E36" s="42"/>
      <c r="F36" s="9">
        <v>5.0099999999999999E-2</v>
      </c>
      <c r="G36" s="10">
        <f t="shared" si="54"/>
        <v>0</v>
      </c>
      <c r="H36" s="9" t="s">
        <v>51</v>
      </c>
      <c r="I36" s="42"/>
      <c r="J36" s="9">
        <v>5.0099999999999999E-2</v>
      </c>
      <c r="K36" s="10">
        <f t="shared" si="55"/>
        <v>0</v>
      </c>
      <c r="L36" s="9" t="s">
        <v>51</v>
      </c>
      <c r="M36" s="42"/>
      <c r="N36" s="9">
        <v>5.0099999999999999E-2</v>
      </c>
      <c r="O36" s="10">
        <f t="shared" si="56"/>
        <v>0</v>
      </c>
      <c r="P36" s="9" t="s">
        <v>51</v>
      </c>
      <c r="Q36" s="42"/>
      <c r="R36" s="9">
        <v>5.0099999999999999E-2</v>
      </c>
      <c r="S36" s="10">
        <f t="shared" si="57"/>
        <v>0</v>
      </c>
      <c r="T36" s="9" t="s">
        <v>51</v>
      </c>
      <c r="U36" s="42"/>
      <c r="V36" s="9">
        <v>5.0099999999999999E-2</v>
      </c>
      <c r="W36" s="10">
        <f t="shared" si="58"/>
        <v>0</v>
      </c>
      <c r="X36" s="9" t="s">
        <v>51</v>
      </c>
      <c r="Y36" s="42"/>
      <c r="Z36" s="9">
        <v>5.0099999999999999E-2</v>
      </c>
      <c r="AA36" s="10">
        <f t="shared" si="59"/>
        <v>0</v>
      </c>
    </row>
    <row r="37" spans="1:61" x14ac:dyDescent="0.25">
      <c r="B37" s="15" t="s">
        <v>32</v>
      </c>
      <c r="C37" s="16" t="s">
        <v>31</v>
      </c>
      <c r="D37" s="6" t="s">
        <v>52</v>
      </c>
      <c r="E37" s="41"/>
      <c r="F37" s="6">
        <v>1.9800000000000002E-2</v>
      </c>
      <c r="G37" s="7">
        <f t="shared" si="54"/>
        <v>0</v>
      </c>
      <c r="H37" s="6" t="s">
        <v>52</v>
      </c>
      <c r="I37" s="41"/>
      <c r="J37" s="6">
        <v>1.9800000000000002E-2</v>
      </c>
      <c r="K37" s="7">
        <f t="shared" si="55"/>
        <v>0</v>
      </c>
      <c r="L37" s="6" t="s">
        <v>52</v>
      </c>
      <c r="M37" s="41"/>
      <c r="N37" s="6">
        <v>1.9800000000000002E-2</v>
      </c>
      <c r="O37" s="7">
        <f t="shared" si="56"/>
        <v>0</v>
      </c>
      <c r="P37" s="6" t="s">
        <v>52</v>
      </c>
      <c r="Q37" s="41"/>
      <c r="R37" s="6">
        <v>1.9800000000000002E-2</v>
      </c>
      <c r="S37" s="7">
        <f t="shared" si="57"/>
        <v>0</v>
      </c>
      <c r="T37" s="6" t="s">
        <v>52</v>
      </c>
      <c r="U37" s="41"/>
      <c r="V37" s="6">
        <v>1.9800000000000002E-2</v>
      </c>
      <c r="W37" s="7">
        <f t="shared" si="58"/>
        <v>0</v>
      </c>
      <c r="X37" s="6" t="s">
        <v>52</v>
      </c>
      <c r="Y37" s="41"/>
      <c r="Z37" s="6">
        <v>1.9800000000000002E-2</v>
      </c>
      <c r="AA37" s="7">
        <f t="shared" si="59"/>
        <v>0</v>
      </c>
    </row>
    <row r="38" spans="1:61" x14ac:dyDescent="0.25">
      <c r="B38" s="17" t="s">
        <v>32</v>
      </c>
      <c r="C38" s="18" t="s">
        <v>31</v>
      </c>
      <c r="D38" s="9" t="s">
        <v>51</v>
      </c>
      <c r="E38" s="42"/>
      <c r="F38" s="9">
        <v>5.0099999999999999E-2</v>
      </c>
      <c r="G38" s="10">
        <f t="shared" si="54"/>
        <v>0</v>
      </c>
      <c r="H38" s="9" t="s">
        <v>51</v>
      </c>
      <c r="I38" s="42"/>
      <c r="J38" s="9">
        <v>5.0099999999999999E-2</v>
      </c>
      <c r="K38" s="10">
        <f t="shared" si="55"/>
        <v>0</v>
      </c>
      <c r="L38" s="9" t="s">
        <v>51</v>
      </c>
      <c r="M38" s="42"/>
      <c r="N38" s="9">
        <v>5.0099999999999999E-2</v>
      </c>
      <c r="O38" s="10">
        <f t="shared" si="56"/>
        <v>0</v>
      </c>
      <c r="P38" s="9" t="s">
        <v>51</v>
      </c>
      <c r="Q38" s="42"/>
      <c r="R38" s="9">
        <v>5.0099999999999999E-2</v>
      </c>
      <c r="S38" s="10">
        <f t="shared" si="57"/>
        <v>0</v>
      </c>
      <c r="T38" s="9" t="s">
        <v>51</v>
      </c>
      <c r="U38" s="42"/>
      <c r="V38" s="9">
        <v>5.0099999999999999E-2</v>
      </c>
      <c r="W38" s="10">
        <f t="shared" si="58"/>
        <v>0</v>
      </c>
      <c r="X38" s="9" t="s">
        <v>51</v>
      </c>
      <c r="Y38" s="42"/>
      <c r="Z38" s="9">
        <v>5.0099999999999999E-2</v>
      </c>
      <c r="AA38" s="10">
        <f t="shared" si="59"/>
        <v>0</v>
      </c>
    </row>
    <row r="39" spans="1:61" s="54" customFormat="1" x14ac:dyDescent="0.25">
      <c r="A39" s="48"/>
      <c r="B39" s="49" t="s">
        <v>34</v>
      </c>
      <c r="C39" s="50" t="s">
        <v>33</v>
      </c>
      <c r="D39" s="51" t="s">
        <v>52</v>
      </c>
      <c r="E39" s="52"/>
      <c r="F39" s="51">
        <v>1.9800000000000002E-2</v>
      </c>
      <c r="G39" s="53">
        <f t="shared" si="54"/>
        <v>0</v>
      </c>
      <c r="H39" s="51" t="s">
        <v>52</v>
      </c>
      <c r="I39" s="52"/>
      <c r="J39" s="51">
        <v>1.9800000000000002E-2</v>
      </c>
      <c r="K39" s="53">
        <f t="shared" si="55"/>
        <v>0</v>
      </c>
      <c r="L39" s="51" t="s">
        <v>52</v>
      </c>
      <c r="M39" s="52"/>
      <c r="N39" s="51">
        <v>1.9800000000000002E-2</v>
      </c>
      <c r="O39" s="53">
        <f t="shared" si="56"/>
        <v>0</v>
      </c>
      <c r="P39" s="51" t="s">
        <v>52</v>
      </c>
      <c r="Q39" s="52"/>
      <c r="R39" s="51">
        <v>1.9800000000000002E-2</v>
      </c>
      <c r="S39" s="53">
        <f t="shared" si="57"/>
        <v>0</v>
      </c>
      <c r="T39" s="51" t="s">
        <v>52</v>
      </c>
      <c r="U39" s="52"/>
      <c r="V39" s="51">
        <v>1.9800000000000002E-2</v>
      </c>
      <c r="W39" s="53">
        <f t="shared" si="58"/>
        <v>0</v>
      </c>
      <c r="X39" s="51" t="s">
        <v>52</v>
      </c>
      <c r="Y39" s="52"/>
      <c r="Z39" s="51">
        <v>1.9800000000000002E-2</v>
      </c>
      <c r="AA39" s="53">
        <f t="shared" si="59"/>
        <v>0</v>
      </c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</row>
    <row r="40" spans="1:61" s="54" customFormat="1" x14ac:dyDescent="0.25">
      <c r="A40" s="48"/>
      <c r="B40" s="55" t="s">
        <v>34</v>
      </c>
      <c r="C40" s="56" t="s">
        <v>33</v>
      </c>
      <c r="D40" s="57" t="s">
        <v>51</v>
      </c>
      <c r="E40" s="58"/>
      <c r="F40" s="57">
        <v>5.0099999999999999E-2</v>
      </c>
      <c r="G40" s="59">
        <f t="shared" si="54"/>
        <v>0</v>
      </c>
      <c r="H40" s="57" t="s">
        <v>51</v>
      </c>
      <c r="I40" s="58"/>
      <c r="J40" s="57">
        <v>5.0099999999999999E-2</v>
      </c>
      <c r="K40" s="59">
        <f t="shared" si="55"/>
        <v>0</v>
      </c>
      <c r="L40" s="57" t="s">
        <v>51</v>
      </c>
      <c r="M40" s="58"/>
      <c r="N40" s="57">
        <v>5.0099999999999999E-2</v>
      </c>
      <c r="O40" s="59">
        <f t="shared" si="56"/>
        <v>0</v>
      </c>
      <c r="P40" s="57" t="s">
        <v>51</v>
      </c>
      <c r="Q40" s="58"/>
      <c r="R40" s="57">
        <v>5.0099999999999999E-2</v>
      </c>
      <c r="S40" s="59">
        <f t="shared" si="57"/>
        <v>0</v>
      </c>
      <c r="T40" s="57" t="s">
        <v>51</v>
      </c>
      <c r="U40" s="58"/>
      <c r="V40" s="57">
        <v>5.0099999999999999E-2</v>
      </c>
      <c r="W40" s="59">
        <f t="shared" si="58"/>
        <v>0</v>
      </c>
      <c r="X40" s="57" t="s">
        <v>51</v>
      </c>
      <c r="Y40" s="58"/>
      <c r="Z40" s="57">
        <v>5.0099999999999999E-2</v>
      </c>
      <c r="AA40" s="59">
        <f t="shared" si="59"/>
        <v>0</v>
      </c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</row>
    <row r="41" spans="1:61" x14ac:dyDescent="0.25">
      <c r="A41" s="29"/>
      <c r="B41" s="23" t="s">
        <v>36</v>
      </c>
      <c r="C41" s="24" t="s">
        <v>35</v>
      </c>
      <c r="D41" s="6" t="s">
        <v>52</v>
      </c>
      <c r="E41" s="41"/>
      <c r="F41" s="6">
        <v>1.3599999999999999E-2</v>
      </c>
      <c r="G41" s="7">
        <f>+E41*F41</f>
        <v>0</v>
      </c>
      <c r="H41" s="6" t="s">
        <v>52</v>
      </c>
      <c r="I41" s="41"/>
      <c r="J41" s="6">
        <v>1.3599999999999999E-2</v>
      </c>
      <c r="K41" s="7">
        <f>+I41*J41</f>
        <v>0</v>
      </c>
      <c r="L41" s="6" t="s">
        <v>52</v>
      </c>
      <c r="M41" s="41"/>
      <c r="N41" s="6">
        <v>1.3599999999999999E-2</v>
      </c>
      <c r="O41" s="7">
        <f>+M41*N41</f>
        <v>0</v>
      </c>
      <c r="P41" s="6" t="s">
        <v>52</v>
      </c>
      <c r="Q41" s="41"/>
      <c r="R41" s="6">
        <v>1.3599999999999999E-2</v>
      </c>
      <c r="S41" s="7">
        <f>+Q41*R41</f>
        <v>0</v>
      </c>
      <c r="T41" s="6" t="s">
        <v>52</v>
      </c>
      <c r="U41" s="41"/>
      <c r="V41" s="6">
        <v>1.3599999999999999E-2</v>
      </c>
      <c r="W41" s="7">
        <f>+U41*V41</f>
        <v>0</v>
      </c>
      <c r="X41" s="6" t="s">
        <v>52</v>
      </c>
      <c r="Y41" s="41"/>
      <c r="Z41" s="6">
        <v>1.3599999999999999E-2</v>
      </c>
      <c r="AA41" s="7">
        <f>+Y41*Z41</f>
        <v>0</v>
      </c>
    </row>
    <row r="42" spans="1:61" x14ac:dyDescent="0.25">
      <c r="A42" s="29"/>
      <c r="B42" s="25" t="s">
        <v>36</v>
      </c>
      <c r="C42" s="26" t="s">
        <v>35</v>
      </c>
      <c r="D42" s="9" t="s">
        <v>51</v>
      </c>
      <c r="E42" s="42"/>
      <c r="F42" s="9">
        <v>6.0100000000000001E-2</v>
      </c>
      <c r="G42" s="10">
        <f t="shared" ref="G42" si="60">+E42*F42</f>
        <v>0</v>
      </c>
      <c r="H42" s="9" t="s">
        <v>51</v>
      </c>
      <c r="I42" s="42"/>
      <c r="J42" s="9">
        <v>6.0100000000000001E-2</v>
      </c>
      <c r="K42" s="10">
        <f t="shared" ref="K42" si="61">+I42*J42</f>
        <v>0</v>
      </c>
      <c r="L42" s="9" t="s">
        <v>51</v>
      </c>
      <c r="M42" s="42"/>
      <c r="N42" s="9">
        <v>6.0100000000000001E-2</v>
      </c>
      <c r="O42" s="10">
        <f t="shared" ref="O42" si="62">+M42*N42</f>
        <v>0</v>
      </c>
      <c r="P42" s="9" t="s">
        <v>51</v>
      </c>
      <c r="Q42" s="42"/>
      <c r="R42" s="9">
        <v>6.0100000000000001E-2</v>
      </c>
      <c r="S42" s="10">
        <f t="shared" ref="S42" si="63">+Q42*R42</f>
        <v>0</v>
      </c>
      <c r="T42" s="9" t="s">
        <v>51</v>
      </c>
      <c r="U42" s="42"/>
      <c r="V42" s="9">
        <v>6.0100000000000001E-2</v>
      </c>
      <c r="W42" s="10">
        <f t="shared" ref="W42" si="64">+U42*V42</f>
        <v>0</v>
      </c>
      <c r="X42" s="9" t="s">
        <v>51</v>
      </c>
      <c r="Y42" s="42"/>
      <c r="Z42" s="9">
        <v>6.0100000000000001E-2</v>
      </c>
      <c r="AA42" s="10">
        <f t="shared" ref="AA42" si="65">+Y42*Z42</f>
        <v>0</v>
      </c>
    </row>
    <row r="43" spans="1:61" x14ac:dyDescent="0.25">
      <c r="A43" s="29"/>
      <c r="B43" s="23" t="s">
        <v>38</v>
      </c>
      <c r="C43" s="24" t="s">
        <v>37</v>
      </c>
      <c r="D43" s="6" t="s">
        <v>52</v>
      </c>
      <c r="E43" s="41"/>
      <c r="F43" s="6">
        <v>2.0199999999999999E-2</v>
      </c>
      <c r="G43" s="7">
        <f>+E43*F43</f>
        <v>0</v>
      </c>
      <c r="H43" s="6" t="s">
        <v>52</v>
      </c>
      <c r="I43" s="41"/>
      <c r="J43" s="6">
        <v>2.0199999999999999E-2</v>
      </c>
      <c r="K43" s="7">
        <f>+I43*J43</f>
        <v>0</v>
      </c>
      <c r="L43" s="6" t="s">
        <v>52</v>
      </c>
      <c r="M43" s="41"/>
      <c r="N43" s="6">
        <v>2.0199999999999999E-2</v>
      </c>
      <c r="O43" s="7">
        <f>+M43*N43</f>
        <v>0</v>
      </c>
      <c r="P43" s="6" t="s">
        <v>52</v>
      </c>
      <c r="Q43" s="41"/>
      <c r="R43" s="6">
        <v>2.0199999999999999E-2</v>
      </c>
      <c r="S43" s="7">
        <f>+Q43*R43</f>
        <v>0</v>
      </c>
      <c r="T43" s="6" t="s">
        <v>52</v>
      </c>
      <c r="U43" s="41"/>
      <c r="V43" s="6">
        <v>2.0199999999999999E-2</v>
      </c>
      <c r="W43" s="7">
        <f>+U43*V43</f>
        <v>0</v>
      </c>
      <c r="X43" s="6" t="s">
        <v>52</v>
      </c>
      <c r="Y43" s="41"/>
      <c r="Z43" s="6">
        <v>2.0199999999999999E-2</v>
      </c>
      <c r="AA43" s="7">
        <f>+Y43*Z43</f>
        <v>0</v>
      </c>
    </row>
    <row r="44" spans="1:61" x14ac:dyDescent="0.25">
      <c r="A44" s="29"/>
      <c r="B44" s="27" t="s">
        <v>38</v>
      </c>
      <c r="C44" s="28" t="s">
        <v>37</v>
      </c>
      <c r="D44" s="9" t="s">
        <v>51</v>
      </c>
      <c r="E44" s="42"/>
      <c r="F44" s="9">
        <v>5.1900000000000002E-2</v>
      </c>
      <c r="G44" s="10">
        <f t="shared" ref="G44" si="66">+E44*F44</f>
        <v>0</v>
      </c>
      <c r="H44" s="9" t="s">
        <v>51</v>
      </c>
      <c r="I44" s="42"/>
      <c r="J44" s="9">
        <v>5.1900000000000002E-2</v>
      </c>
      <c r="K44" s="10">
        <f t="shared" ref="K44" si="67">+I44*J44</f>
        <v>0</v>
      </c>
      <c r="L44" s="9" t="s">
        <v>51</v>
      </c>
      <c r="M44" s="42"/>
      <c r="N44" s="9">
        <v>5.1900000000000002E-2</v>
      </c>
      <c r="O44" s="10">
        <f t="shared" ref="O44" si="68">+M44*N44</f>
        <v>0</v>
      </c>
      <c r="P44" s="9" t="s">
        <v>51</v>
      </c>
      <c r="Q44" s="42"/>
      <c r="R44" s="9">
        <v>5.1900000000000002E-2</v>
      </c>
      <c r="S44" s="10">
        <f t="shared" ref="S44" si="69">+Q44*R44</f>
        <v>0</v>
      </c>
      <c r="T44" s="9" t="s">
        <v>51</v>
      </c>
      <c r="U44" s="42"/>
      <c r="V44" s="9">
        <v>5.1900000000000002E-2</v>
      </c>
      <c r="W44" s="10">
        <f t="shared" ref="W44" si="70">+U44*V44</f>
        <v>0</v>
      </c>
      <c r="X44" s="9" t="s">
        <v>51</v>
      </c>
      <c r="Y44" s="42"/>
      <c r="Z44" s="9">
        <v>5.1900000000000002E-2</v>
      </c>
      <c r="AA44" s="10">
        <f t="shared" ref="AA44" si="71">+Y44*Z44</f>
        <v>0</v>
      </c>
    </row>
    <row r="45" spans="1:61" x14ac:dyDescent="0.25">
      <c r="B45" s="19" t="s">
        <v>40</v>
      </c>
      <c r="C45" s="21" t="s">
        <v>39</v>
      </c>
      <c r="D45" s="6" t="s">
        <v>52</v>
      </c>
      <c r="E45" s="41"/>
      <c r="F45" s="6">
        <v>1.9800000000000002E-2</v>
      </c>
      <c r="G45" s="7">
        <f>+E45*F45</f>
        <v>0</v>
      </c>
      <c r="H45" s="6" t="s">
        <v>52</v>
      </c>
      <c r="I45" s="41"/>
      <c r="J45" s="6">
        <v>1.9800000000000002E-2</v>
      </c>
      <c r="K45" s="7">
        <f>+I45*J45</f>
        <v>0</v>
      </c>
      <c r="L45" s="6" t="s">
        <v>52</v>
      </c>
      <c r="M45" s="41"/>
      <c r="N45" s="6">
        <v>1.9800000000000002E-2</v>
      </c>
      <c r="O45" s="7">
        <f>+M45*N45</f>
        <v>0</v>
      </c>
      <c r="P45" s="6" t="s">
        <v>52</v>
      </c>
      <c r="Q45" s="41"/>
      <c r="R45" s="6">
        <v>1.9800000000000002E-2</v>
      </c>
      <c r="S45" s="7">
        <f>+Q45*R45</f>
        <v>0</v>
      </c>
      <c r="T45" s="6" t="s">
        <v>52</v>
      </c>
      <c r="U45" s="41"/>
      <c r="V45" s="6">
        <v>1.9800000000000002E-2</v>
      </c>
      <c r="W45" s="7">
        <f>+U45*V45</f>
        <v>0</v>
      </c>
      <c r="X45" s="6" t="s">
        <v>52</v>
      </c>
      <c r="Y45" s="41"/>
      <c r="Z45" s="6">
        <v>1.9800000000000002E-2</v>
      </c>
      <c r="AA45" s="7">
        <f>+Y45*Z45</f>
        <v>0</v>
      </c>
    </row>
    <row r="46" spans="1:61" x14ac:dyDescent="0.25">
      <c r="B46" s="20" t="s">
        <v>40</v>
      </c>
      <c r="C46" s="22" t="s">
        <v>39</v>
      </c>
      <c r="D46" s="9" t="s">
        <v>51</v>
      </c>
      <c r="E46" s="42"/>
      <c r="F46" s="9">
        <v>5.0099999999999999E-2</v>
      </c>
      <c r="G46" s="10">
        <f t="shared" ref="G46" si="72">+E46*F46</f>
        <v>0</v>
      </c>
      <c r="H46" s="9" t="s">
        <v>51</v>
      </c>
      <c r="I46" s="42"/>
      <c r="J46" s="9">
        <v>5.0099999999999999E-2</v>
      </c>
      <c r="K46" s="10">
        <f t="shared" ref="K46" si="73">+I46*J46</f>
        <v>0</v>
      </c>
      <c r="L46" s="9" t="s">
        <v>51</v>
      </c>
      <c r="M46" s="42"/>
      <c r="N46" s="9">
        <v>5.0099999999999999E-2</v>
      </c>
      <c r="O46" s="10">
        <f t="shared" ref="O46" si="74">+M46*N46</f>
        <v>0</v>
      </c>
      <c r="P46" s="9" t="s">
        <v>51</v>
      </c>
      <c r="Q46" s="42"/>
      <c r="R46" s="9">
        <v>5.0099999999999999E-2</v>
      </c>
      <c r="S46" s="10">
        <f t="shared" ref="S46" si="75">+Q46*R46</f>
        <v>0</v>
      </c>
      <c r="T46" s="9" t="s">
        <v>51</v>
      </c>
      <c r="U46" s="42"/>
      <c r="V46" s="9">
        <v>5.0099999999999999E-2</v>
      </c>
      <c r="W46" s="10">
        <f t="shared" ref="W46" si="76">+U46*V46</f>
        <v>0</v>
      </c>
      <c r="X46" s="9" t="s">
        <v>51</v>
      </c>
      <c r="Y46" s="42"/>
      <c r="Z46" s="9">
        <v>5.0099999999999999E-2</v>
      </c>
      <c r="AA46" s="10">
        <f t="shared" ref="AA46" si="77">+Y46*Z46</f>
        <v>0</v>
      </c>
    </row>
    <row r="47" spans="1:61" x14ac:dyDescent="0.25">
      <c r="B47" s="19" t="s">
        <v>42</v>
      </c>
      <c r="C47" s="21" t="s">
        <v>41</v>
      </c>
      <c r="D47" s="6" t="s">
        <v>52</v>
      </c>
      <c r="E47" s="41"/>
      <c r="F47" s="6">
        <v>1.11E-2</v>
      </c>
      <c r="G47" s="7">
        <f>+E47*F47</f>
        <v>0</v>
      </c>
      <c r="H47" s="6" t="s">
        <v>52</v>
      </c>
      <c r="I47" s="41"/>
      <c r="J47" s="6">
        <v>1.11E-2</v>
      </c>
      <c r="K47" s="7">
        <f>+I47*J47</f>
        <v>0</v>
      </c>
      <c r="L47" s="6" t="s">
        <v>52</v>
      </c>
      <c r="M47" s="41"/>
      <c r="N47" s="6">
        <v>1.11E-2</v>
      </c>
      <c r="O47" s="7">
        <f>+M47*N47</f>
        <v>0</v>
      </c>
      <c r="P47" s="6" t="s">
        <v>52</v>
      </c>
      <c r="Q47" s="41"/>
      <c r="R47" s="6">
        <v>1.11E-2</v>
      </c>
      <c r="S47" s="7">
        <f>+Q47*R47</f>
        <v>0</v>
      </c>
      <c r="T47" s="6" t="s">
        <v>52</v>
      </c>
      <c r="U47" s="41"/>
      <c r="V47" s="6">
        <v>1.11E-2</v>
      </c>
      <c r="W47" s="7">
        <f>+U47*V47</f>
        <v>0</v>
      </c>
      <c r="X47" s="6" t="s">
        <v>52</v>
      </c>
      <c r="Y47" s="41"/>
      <c r="Z47" s="6">
        <v>1.11E-2</v>
      </c>
      <c r="AA47" s="7">
        <f>+Y47*Z47</f>
        <v>0</v>
      </c>
    </row>
    <row r="48" spans="1:61" x14ac:dyDescent="0.25">
      <c r="B48" s="20" t="s">
        <v>42</v>
      </c>
      <c r="C48" s="22" t="s">
        <v>41</v>
      </c>
      <c r="D48" s="9" t="s">
        <v>51</v>
      </c>
      <c r="E48" s="42"/>
      <c r="F48" s="9">
        <v>5.0099999999999999E-2</v>
      </c>
      <c r="G48" s="10">
        <f t="shared" ref="G48" si="78">+E48*F48</f>
        <v>0</v>
      </c>
      <c r="H48" s="9" t="s">
        <v>51</v>
      </c>
      <c r="I48" s="42"/>
      <c r="J48" s="9">
        <v>5.0099999999999999E-2</v>
      </c>
      <c r="K48" s="10">
        <f t="shared" ref="K48" si="79">+I48*J48</f>
        <v>0</v>
      </c>
      <c r="L48" s="9" t="s">
        <v>51</v>
      </c>
      <c r="M48" s="42"/>
      <c r="N48" s="9">
        <v>5.0099999999999999E-2</v>
      </c>
      <c r="O48" s="10">
        <f t="shared" ref="O48" si="80">+M48*N48</f>
        <v>0</v>
      </c>
      <c r="P48" s="9" t="s">
        <v>51</v>
      </c>
      <c r="Q48" s="42"/>
      <c r="R48" s="9">
        <v>5.0099999999999999E-2</v>
      </c>
      <c r="S48" s="10">
        <f t="shared" ref="S48" si="81">+Q48*R48</f>
        <v>0</v>
      </c>
      <c r="T48" s="9" t="s">
        <v>51</v>
      </c>
      <c r="U48" s="42"/>
      <c r="V48" s="9">
        <v>5.0099999999999999E-2</v>
      </c>
      <c r="W48" s="10">
        <f t="shared" ref="W48" si="82">+U48*V48</f>
        <v>0</v>
      </c>
      <c r="X48" s="9" t="s">
        <v>51</v>
      </c>
      <c r="Y48" s="42"/>
      <c r="Z48" s="9">
        <v>5.0099999999999999E-2</v>
      </c>
      <c r="AA48" s="10">
        <f t="shared" ref="AA48" si="83">+Y48*Z48</f>
        <v>0</v>
      </c>
    </row>
    <row r="49" spans="1:27" x14ac:dyDescent="0.25">
      <c r="A49" s="29"/>
      <c r="B49" s="19" t="s">
        <v>44</v>
      </c>
      <c r="C49" s="21" t="s">
        <v>43</v>
      </c>
      <c r="D49" s="6" t="s">
        <v>52</v>
      </c>
      <c r="E49" s="41"/>
      <c r="F49" s="6">
        <v>1.11E-2</v>
      </c>
      <c r="G49" s="7">
        <f>+E49*F49</f>
        <v>0</v>
      </c>
      <c r="H49" s="6" t="s">
        <v>52</v>
      </c>
      <c r="I49" s="41"/>
      <c r="J49" s="6">
        <v>1.11E-2</v>
      </c>
      <c r="K49" s="7">
        <f>+I49*J49</f>
        <v>0</v>
      </c>
      <c r="L49" s="6" t="s">
        <v>52</v>
      </c>
      <c r="M49" s="41"/>
      <c r="N49" s="6">
        <v>1.11E-2</v>
      </c>
      <c r="O49" s="7">
        <f>+M49*N49</f>
        <v>0</v>
      </c>
      <c r="P49" s="6" t="s">
        <v>52</v>
      </c>
      <c r="Q49" s="41"/>
      <c r="R49" s="6">
        <v>1.11E-2</v>
      </c>
      <c r="S49" s="7">
        <f>+Q49*R49</f>
        <v>0</v>
      </c>
      <c r="T49" s="6" t="s">
        <v>52</v>
      </c>
      <c r="U49" s="41"/>
      <c r="V49" s="6">
        <v>1.11E-2</v>
      </c>
      <c r="W49" s="7">
        <f>+U49*V49</f>
        <v>0</v>
      </c>
      <c r="X49" s="6" t="s">
        <v>52</v>
      </c>
      <c r="Y49" s="41"/>
      <c r="Z49" s="6">
        <v>1.11E-2</v>
      </c>
      <c r="AA49" s="7">
        <f>+Y49*Z49</f>
        <v>0</v>
      </c>
    </row>
    <row r="50" spans="1:27" x14ac:dyDescent="0.25">
      <c r="B50" s="20" t="s">
        <v>44</v>
      </c>
      <c r="C50" s="22" t="s">
        <v>43</v>
      </c>
      <c r="D50" s="9" t="s">
        <v>51</v>
      </c>
      <c r="E50" s="42"/>
      <c r="F50" s="9">
        <v>5.0099999999999999E-2</v>
      </c>
      <c r="G50" s="10">
        <f t="shared" ref="G50" si="84">+E50*F50</f>
        <v>0</v>
      </c>
      <c r="H50" s="9" t="s">
        <v>51</v>
      </c>
      <c r="I50" s="42"/>
      <c r="J50" s="9">
        <v>5.0099999999999999E-2</v>
      </c>
      <c r="K50" s="10">
        <f t="shared" ref="K50" si="85">+I50*J50</f>
        <v>0</v>
      </c>
      <c r="L50" s="9" t="s">
        <v>51</v>
      </c>
      <c r="M50" s="42"/>
      <c r="N50" s="9">
        <v>5.0099999999999999E-2</v>
      </c>
      <c r="O50" s="10">
        <f t="shared" ref="O50" si="86">+M50*N50</f>
        <v>0</v>
      </c>
      <c r="P50" s="9" t="s">
        <v>51</v>
      </c>
      <c r="Q50" s="42"/>
      <c r="R50" s="9">
        <v>5.0099999999999999E-2</v>
      </c>
      <c r="S50" s="10">
        <f t="shared" ref="S50" si="87">+Q50*R50</f>
        <v>0</v>
      </c>
      <c r="T50" s="9" t="s">
        <v>51</v>
      </c>
      <c r="U50" s="42"/>
      <c r="V50" s="9">
        <v>5.0099999999999999E-2</v>
      </c>
      <c r="W50" s="10">
        <f t="shared" ref="W50" si="88">+U50*V50</f>
        <v>0</v>
      </c>
      <c r="X50" s="9" t="s">
        <v>51</v>
      </c>
      <c r="Y50" s="42"/>
      <c r="Z50" s="9">
        <v>5.0099999999999999E-2</v>
      </c>
      <c r="AA50" s="10">
        <f t="shared" ref="AA50" si="89">+Y50*Z50</f>
        <v>0</v>
      </c>
    </row>
    <row r="51" spans="1:27" x14ac:dyDescent="0.25">
      <c r="A51" s="29"/>
      <c r="B51" s="19" t="s">
        <v>46</v>
      </c>
      <c r="C51" s="21" t="s">
        <v>45</v>
      </c>
      <c r="D51" s="6" t="s">
        <v>52</v>
      </c>
      <c r="E51" s="41"/>
      <c r="F51" s="6">
        <v>1.11E-2</v>
      </c>
      <c r="G51" s="7">
        <f>+E51*F51</f>
        <v>0</v>
      </c>
      <c r="H51" s="6" t="s">
        <v>52</v>
      </c>
      <c r="I51" s="41"/>
      <c r="J51" s="6">
        <v>1.11E-2</v>
      </c>
      <c r="K51" s="7">
        <f>+I51*J51</f>
        <v>0</v>
      </c>
      <c r="L51" s="6" t="s">
        <v>52</v>
      </c>
      <c r="M51" s="41"/>
      <c r="N51" s="6">
        <v>1.11E-2</v>
      </c>
      <c r="O51" s="7">
        <f>+M51*N51</f>
        <v>0</v>
      </c>
      <c r="P51" s="6" t="s">
        <v>52</v>
      </c>
      <c r="Q51" s="41"/>
      <c r="R51" s="6">
        <v>1.11E-2</v>
      </c>
      <c r="S51" s="7">
        <f>+Q51*R51</f>
        <v>0</v>
      </c>
      <c r="T51" s="6" t="s">
        <v>52</v>
      </c>
      <c r="U51" s="41"/>
      <c r="V51" s="6">
        <v>1.11E-2</v>
      </c>
      <c r="W51" s="7">
        <f>+U51*V51</f>
        <v>0</v>
      </c>
      <c r="X51" s="6" t="s">
        <v>52</v>
      </c>
      <c r="Y51" s="41"/>
      <c r="Z51" s="6">
        <v>1.11E-2</v>
      </c>
      <c r="AA51" s="7">
        <f>+Y51*Z51</f>
        <v>0</v>
      </c>
    </row>
    <row r="52" spans="1:27" x14ac:dyDescent="0.25">
      <c r="B52" s="20" t="s">
        <v>46</v>
      </c>
      <c r="C52" s="22" t="s">
        <v>45</v>
      </c>
      <c r="D52" s="9" t="s">
        <v>51</v>
      </c>
      <c r="E52" s="42"/>
      <c r="F52" s="9">
        <v>5.45E-2</v>
      </c>
      <c r="G52" s="10">
        <f t="shared" ref="G52" si="90">+E52*F52</f>
        <v>0</v>
      </c>
      <c r="H52" s="9" t="s">
        <v>51</v>
      </c>
      <c r="I52" s="42"/>
      <c r="J52" s="9">
        <v>5.45E-2</v>
      </c>
      <c r="K52" s="10">
        <f t="shared" ref="K52" si="91">+I52*J52</f>
        <v>0</v>
      </c>
      <c r="L52" s="9" t="s">
        <v>51</v>
      </c>
      <c r="M52" s="42"/>
      <c r="N52" s="9">
        <v>5.45E-2</v>
      </c>
      <c r="O52" s="10">
        <f t="shared" ref="O52" si="92">+M52*N52</f>
        <v>0</v>
      </c>
      <c r="P52" s="9" t="s">
        <v>51</v>
      </c>
      <c r="Q52" s="42"/>
      <c r="R52" s="9">
        <v>5.45E-2</v>
      </c>
      <c r="S52" s="10">
        <f t="shared" ref="S52" si="93">+Q52*R52</f>
        <v>0</v>
      </c>
      <c r="T52" s="9" t="s">
        <v>51</v>
      </c>
      <c r="U52" s="42"/>
      <c r="V52" s="9">
        <v>5.45E-2</v>
      </c>
      <c r="W52" s="10">
        <f t="shared" ref="W52" si="94">+U52*V52</f>
        <v>0</v>
      </c>
      <c r="X52" s="9" t="s">
        <v>51</v>
      </c>
      <c r="Y52" s="42"/>
      <c r="Z52" s="9">
        <v>5.45E-2</v>
      </c>
      <c r="AA52" s="10">
        <f t="shared" ref="AA52" si="95">+Y52*Z52</f>
        <v>0</v>
      </c>
    </row>
    <row r="53" spans="1:27" s="2" customFormat="1" x14ac:dyDescent="0.25">
      <c r="E53" s="4"/>
      <c r="I53" s="4"/>
      <c r="M53" s="4"/>
      <c r="Q53" s="4"/>
      <c r="U53" s="4"/>
      <c r="Y53" s="4"/>
    </row>
    <row r="54" spans="1:27" s="2" customFormat="1" x14ac:dyDescent="0.25">
      <c r="D54" s="5" t="s">
        <v>54</v>
      </c>
      <c r="E54" s="6"/>
      <c r="F54" s="6"/>
      <c r="G54" s="7">
        <f>SUM(G7:G52)</f>
        <v>0</v>
      </c>
      <c r="H54" s="5" t="s">
        <v>54</v>
      </c>
      <c r="I54" s="6"/>
      <c r="J54" s="6"/>
      <c r="K54" s="7">
        <f>SUM(K7:K52)</f>
        <v>0</v>
      </c>
      <c r="L54" s="5" t="s">
        <v>54</v>
      </c>
      <c r="M54" s="6"/>
      <c r="N54" s="6"/>
      <c r="O54" s="7">
        <f>SUM(O7:O52)</f>
        <v>0</v>
      </c>
      <c r="P54" s="5" t="s">
        <v>54</v>
      </c>
      <c r="Q54" s="6"/>
      <c r="R54" s="6"/>
      <c r="S54" s="7">
        <f>SUM(S7:S52)</f>
        <v>0</v>
      </c>
      <c r="T54" s="5" t="s">
        <v>54</v>
      </c>
      <c r="U54" s="6"/>
      <c r="V54" s="6"/>
      <c r="W54" s="7">
        <f>SUM(W7:W52)</f>
        <v>0</v>
      </c>
      <c r="X54" s="5" t="s">
        <v>54</v>
      </c>
      <c r="Y54" s="6"/>
      <c r="Z54" s="6"/>
      <c r="AA54" s="7">
        <f>SUM(AA7:AA52)</f>
        <v>0</v>
      </c>
    </row>
    <row r="55" spans="1:27" s="2" customFormat="1" x14ac:dyDescent="0.25">
      <c r="D55" s="8" t="s">
        <v>55</v>
      </c>
      <c r="E55" s="57"/>
      <c r="F55" s="57"/>
      <c r="G55" s="59">
        <v>390.6</v>
      </c>
      <c r="H55" s="8" t="s">
        <v>55</v>
      </c>
      <c r="I55" s="57"/>
      <c r="J55" s="57"/>
      <c r="K55" s="59">
        <v>390.6</v>
      </c>
      <c r="L55" s="8" t="s">
        <v>55</v>
      </c>
      <c r="M55" s="9"/>
      <c r="N55" s="9"/>
      <c r="O55" s="59">
        <v>390.6</v>
      </c>
      <c r="P55" s="55" t="s">
        <v>55</v>
      </c>
      <c r="Q55" s="57"/>
      <c r="R55" s="57"/>
      <c r="S55" s="59">
        <v>390.6</v>
      </c>
      <c r="T55" s="55" t="s">
        <v>55</v>
      </c>
      <c r="U55" s="57"/>
      <c r="V55" s="57"/>
      <c r="W55" s="59">
        <v>390.6</v>
      </c>
      <c r="X55" s="55" t="s">
        <v>55</v>
      </c>
      <c r="Y55" s="57"/>
      <c r="Z55" s="57"/>
      <c r="AA55" s="59">
        <v>390.6</v>
      </c>
    </row>
    <row r="56" spans="1:27" s="2" customFormat="1" x14ac:dyDescent="0.25"/>
    <row r="57" spans="1:27" s="2" customFormat="1" x14ac:dyDescent="0.25">
      <c r="D57" s="37" t="s">
        <v>56</v>
      </c>
      <c r="E57" s="38"/>
      <c r="F57" s="39"/>
      <c r="G57" s="40">
        <f>+G54+G55</f>
        <v>390.6</v>
      </c>
      <c r="H57" s="37" t="s">
        <v>56</v>
      </c>
      <c r="I57" s="38"/>
      <c r="J57" s="39"/>
      <c r="K57" s="40">
        <f>+K54+K55</f>
        <v>390.6</v>
      </c>
      <c r="L57" s="37" t="s">
        <v>56</v>
      </c>
      <c r="M57" s="38"/>
      <c r="N57" s="39"/>
      <c r="O57" s="40">
        <f>+O54+O55</f>
        <v>390.6</v>
      </c>
      <c r="P57" s="37" t="s">
        <v>56</v>
      </c>
      <c r="Q57" s="38"/>
      <c r="R57" s="39"/>
      <c r="S57" s="40">
        <f>+S54+S55</f>
        <v>390.6</v>
      </c>
      <c r="T57" s="37" t="s">
        <v>56</v>
      </c>
      <c r="U57" s="38"/>
      <c r="V57" s="39"/>
      <c r="W57" s="40">
        <f>+W54+W55</f>
        <v>390.6</v>
      </c>
      <c r="X57" s="37" t="s">
        <v>56</v>
      </c>
      <c r="Y57" s="38"/>
      <c r="Z57" s="39"/>
      <c r="AA57" s="40">
        <f>+AA54+AA55</f>
        <v>390.6</v>
      </c>
    </row>
    <row r="58" spans="1:27" s="2" customFormat="1" x14ac:dyDescent="0.25">
      <c r="G58" s="3"/>
      <c r="K58" s="3"/>
      <c r="O58" s="3"/>
      <c r="S58" s="3"/>
      <c r="W58" s="3"/>
      <c r="AA58" s="3"/>
    </row>
    <row r="59" spans="1:27" s="2" customFormat="1" x14ac:dyDescent="0.25">
      <c r="D59" s="31" t="s">
        <v>52</v>
      </c>
      <c r="E59" s="32">
        <v>1.9800000000000002E-2</v>
      </c>
      <c r="F59" s="3"/>
      <c r="H59" s="31" t="s">
        <v>52</v>
      </c>
      <c r="I59" s="32">
        <v>1.9800000000000002E-2</v>
      </c>
      <c r="J59" s="3"/>
      <c r="L59" s="31" t="s">
        <v>52</v>
      </c>
      <c r="M59" s="32">
        <v>1.9800000000000002E-2</v>
      </c>
      <c r="N59" s="3"/>
      <c r="P59" s="31" t="s">
        <v>52</v>
      </c>
      <c r="Q59" s="32">
        <v>1.9800000000000002E-2</v>
      </c>
      <c r="R59" s="3"/>
      <c r="T59" s="31" t="s">
        <v>52</v>
      </c>
      <c r="U59" s="32">
        <v>1.9800000000000002E-2</v>
      </c>
      <c r="W59" s="3"/>
      <c r="X59" s="31" t="s">
        <v>52</v>
      </c>
      <c r="Y59" s="32">
        <v>1.9800000000000002E-2</v>
      </c>
      <c r="AA59" s="3"/>
    </row>
    <row r="60" spans="1:27" s="2" customFormat="1" x14ac:dyDescent="0.25">
      <c r="D60" s="33" t="s">
        <v>53</v>
      </c>
      <c r="E60" s="34">
        <v>5.45E-2</v>
      </c>
      <c r="F60" s="3"/>
      <c r="H60" s="33" t="s">
        <v>53</v>
      </c>
      <c r="I60" s="34">
        <v>5.45E-2</v>
      </c>
      <c r="J60" s="3"/>
      <c r="L60" s="33" t="s">
        <v>53</v>
      </c>
      <c r="M60" s="34">
        <v>5.45E-2</v>
      </c>
      <c r="N60" s="3"/>
      <c r="P60" s="33" t="s">
        <v>53</v>
      </c>
      <c r="Q60" s="34">
        <v>5.45E-2</v>
      </c>
      <c r="R60" s="3"/>
      <c r="T60" s="33" t="s">
        <v>53</v>
      </c>
      <c r="U60" s="34">
        <v>5.45E-2</v>
      </c>
      <c r="W60" s="3"/>
      <c r="X60" s="33" t="s">
        <v>53</v>
      </c>
      <c r="Y60" s="34">
        <v>5.45E-2</v>
      </c>
      <c r="AA60" s="3"/>
    </row>
    <row r="61" spans="1:27" s="2" customFormat="1" x14ac:dyDescent="0.25">
      <c r="E61" s="4"/>
      <c r="G61" s="3"/>
      <c r="I61" s="4"/>
      <c r="K61" s="3"/>
      <c r="M61" s="4"/>
      <c r="O61" s="3"/>
      <c r="Q61" s="4"/>
      <c r="S61" s="3"/>
      <c r="U61" s="4"/>
      <c r="W61" s="3"/>
      <c r="Y61" s="4"/>
      <c r="AA61" s="3"/>
    </row>
    <row r="62" spans="1:27" s="2" customFormat="1" x14ac:dyDescent="0.25">
      <c r="E62" s="4"/>
      <c r="G62" s="3"/>
      <c r="I62" s="4"/>
      <c r="K62" s="3"/>
      <c r="M62" s="4"/>
      <c r="O62" s="3"/>
      <c r="Q62" s="4"/>
      <c r="S62" s="3"/>
      <c r="U62" s="4"/>
      <c r="W62" s="3"/>
      <c r="Y62" s="4"/>
      <c r="AA62" s="3"/>
    </row>
    <row r="63" spans="1:27" s="2" customFormat="1" x14ac:dyDescent="0.25">
      <c r="E63" s="4"/>
      <c r="G63" s="3"/>
      <c r="I63" s="4"/>
      <c r="K63" s="72">
        <f>+K57/G57-1</f>
        <v>0</v>
      </c>
      <c r="M63" s="4"/>
      <c r="O63" s="72">
        <f>+O57/K57-1</f>
        <v>0</v>
      </c>
      <c r="Q63" s="4"/>
      <c r="S63" s="72">
        <f>+S57/O57-1</f>
        <v>0</v>
      </c>
      <c r="U63" s="4"/>
      <c r="W63" s="72">
        <f>+W57/S57-1</f>
        <v>0</v>
      </c>
      <c r="Y63" s="4"/>
      <c r="AA63" s="72">
        <f>+AA57/W57-1</f>
        <v>0</v>
      </c>
    </row>
    <row r="64" spans="1:27" s="2" customFormat="1" x14ac:dyDescent="0.25">
      <c r="E64" s="4"/>
      <c r="G64" s="3"/>
      <c r="I64" s="4"/>
      <c r="K64" s="3"/>
      <c r="M64" s="4"/>
      <c r="O64" s="3"/>
      <c r="Q64" s="4"/>
      <c r="S64" s="3"/>
      <c r="U64" s="4"/>
      <c r="W64" s="3"/>
      <c r="Y64" s="4"/>
      <c r="AA64" s="3"/>
    </row>
    <row r="65" spans="5:27" s="2" customFormat="1" x14ac:dyDescent="0.25">
      <c r="E65" s="4"/>
      <c r="G65" s="3"/>
      <c r="I65" s="4"/>
      <c r="K65" s="3"/>
      <c r="M65" s="4"/>
      <c r="O65" s="3"/>
      <c r="Q65" s="4"/>
      <c r="S65" s="3"/>
      <c r="U65" s="4"/>
      <c r="W65" s="3"/>
      <c r="Y65" s="4"/>
      <c r="AA65" s="3"/>
    </row>
    <row r="66" spans="5:27" s="2" customFormat="1" x14ac:dyDescent="0.25">
      <c r="E66" s="4"/>
      <c r="G66" s="3"/>
      <c r="I66" s="4"/>
      <c r="K66" s="3"/>
      <c r="M66" s="4"/>
      <c r="O66" s="3"/>
      <c r="Q66" s="4"/>
      <c r="S66" s="3"/>
      <c r="U66" s="4"/>
      <c r="W66" s="3"/>
      <c r="Y66" s="4"/>
      <c r="AA66" s="3"/>
    </row>
    <row r="67" spans="5:27" s="2" customFormat="1" x14ac:dyDescent="0.25">
      <c r="E67" s="4"/>
      <c r="G67" s="3"/>
      <c r="I67" s="4"/>
      <c r="K67" s="3"/>
      <c r="M67" s="4"/>
      <c r="O67" s="3"/>
      <c r="Q67" s="4"/>
      <c r="S67" s="3"/>
      <c r="U67" s="4"/>
      <c r="W67" s="3"/>
      <c r="Y67" s="4"/>
      <c r="AA67" s="3"/>
    </row>
    <row r="68" spans="5:27" s="2" customFormat="1" x14ac:dyDescent="0.25">
      <c r="E68" s="4"/>
      <c r="G68" s="3"/>
      <c r="I68" s="4"/>
      <c r="K68" s="3"/>
      <c r="M68" s="4"/>
      <c r="O68" s="3"/>
      <c r="Q68" s="4"/>
      <c r="S68" s="3"/>
      <c r="U68" s="4"/>
      <c r="W68" s="3"/>
      <c r="Y68" s="4"/>
      <c r="AA68" s="3"/>
    </row>
    <row r="69" spans="5:27" s="2" customFormat="1" x14ac:dyDescent="0.25">
      <c r="E69" s="4"/>
      <c r="G69" s="3"/>
      <c r="I69" s="4"/>
      <c r="K69" s="3"/>
      <c r="M69" s="4"/>
      <c r="O69" s="3"/>
      <c r="Q69" s="4"/>
      <c r="S69" s="3"/>
      <c r="U69" s="4"/>
      <c r="W69" s="3"/>
      <c r="Y69" s="4"/>
      <c r="AA69" s="3"/>
    </row>
    <row r="70" spans="5:27" s="2" customFormat="1" x14ac:dyDescent="0.25">
      <c r="E70" s="4"/>
      <c r="G70" s="3"/>
      <c r="I70" s="4"/>
      <c r="K70" s="3"/>
      <c r="M70" s="4"/>
      <c r="O70" s="3"/>
      <c r="Q70" s="4"/>
      <c r="S70" s="3"/>
      <c r="U70" s="4"/>
      <c r="W70" s="3"/>
      <c r="Y70" s="4"/>
      <c r="AA70" s="3"/>
    </row>
    <row r="71" spans="5:27" s="2" customFormat="1" x14ac:dyDescent="0.25">
      <c r="E71" s="4"/>
      <c r="G71" s="3"/>
      <c r="I71" s="4"/>
      <c r="K71" s="3"/>
      <c r="M71" s="4"/>
      <c r="O71" s="3"/>
      <c r="Q71" s="4"/>
      <c r="S71" s="3"/>
      <c r="U71" s="4"/>
      <c r="W71" s="3"/>
      <c r="Y71" s="4"/>
      <c r="AA71" s="3"/>
    </row>
    <row r="72" spans="5:27" s="2" customFormat="1" x14ac:dyDescent="0.25">
      <c r="E72" s="4"/>
      <c r="G72" s="3"/>
      <c r="I72" s="4"/>
      <c r="K72" s="3"/>
      <c r="M72" s="4"/>
      <c r="O72" s="3"/>
      <c r="Q72" s="4"/>
      <c r="S72" s="3"/>
      <c r="U72" s="4"/>
      <c r="W72" s="3"/>
      <c r="Y72" s="4"/>
      <c r="AA72" s="3"/>
    </row>
    <row r="73" spans="5:27" s="2" customFormat="1" x14ac:dyDescent="0.25">
      <c r="E73" s="4"/>
      <c r="G73" s="3"/>
      <c r="I73" s="4"/>
      <c r="K73" s="3"/>
      <c r="M73" s="4"/>
      <c r="O73" s="3"/>
      <c r="Q73" s="4"/>
      <c r="S73" s="3"/>
      <c r="U73" s="4"/>
      <c r="W73" s="3"/>
      <c r="Y73" s="4"/>
      <c r="AA73" s="3"/>
    </row>
    <row r="74" spans="5:27" s="2" customFormat="1" x14ac:dyDescent="0.25">
      <c r="E74" s="4"/>
      <c r="G74" s="3"/>
      <c r="I74" s="4"/>
      <c r="K74" s="3"/>
      <c r="M74" s="4"/>
      <c r="O74" s="3"/>
      <c r="Q74" s="4"/>
      <c r="S74" s="3"/>
      <c r="U74" s="4"/>
      <c r="W74" s="3"/>
      <c r="Y74" s="4"/>
      <c r="AA74" s="3"/>
    </row>
    <row r="75" spans="5:27" s="2" customFormat="1" x14ac:dyDescent="0.25">
      <c r="E75" s="4"/>
      <c r="G75" s="3"/>
      <c r="I75" s="4"/>
      <c r="K75" s="3"/>
      <c r="M75" s="4"/>
      <c r="O75" s="3"/>
      <c r="Q75" s="4"/>
      <c r="S75" s="3"/>
      <c r="U75" s="4"/>
      <c r="W75" s="3"/>
      <c r="Y75" s="4"/>
      <c r="AA75" s="3"/>
    </row>
    <row r="76" spans="5:27" s="2" customFormat="1" x14ac:dyDescent="0.25">
      <c r="E76" s="4"/>
      <c r="G76" s="3"/>
      <c r="I76" s="4"/>
      <c r="K76" s="3"/>
      <c r="M76" s="4"/>
      <c r="O76" s="3"/>
      <c r="Q76" s="4"/>
      <c r="S76" s="3"/>
      <c r="U76" s="4"/>
      <c r="W76" s="3"/>
      <c r="Y76" s="4"/>
      <c r="AA76" s="3"/>
    </row>
    <row r="77" spans="5:27" s="2" customFormat="1" x14ac:dyDescent="0.25">
      <c r="E77" s="4"/>
      <c r="G77" s="3"/>
      <c r="I77" s="4"/>
      <c r="K77" s="3"/>
      <c r="M77" s="4"/>
      <c r="O77" s="3"/>
      <c r="Q77" s="4"/>
      <c r="S77" s="3"/>
      <c r="U77" s="4"/>
      <c r="W77" s="3"/>
      <c r="Y77" s="4"/>
      <c r="AA77" s="3"/>
    </row>
    <row r="78" spans="5:27" s="2" customFormat="1" x14ac:dyDescent="0.25">
      <c r="E78" s="4"/>
      <c r="G78" s="3"/>
      <c r="I78" s="4"/>
      <c r="K78" s="3"/>
      <c r="M78" s="4"/>
      <c r="O78" s="3"/>
      <c r="Q78" s="4"/>
      <c r="S78" s="3"/>
      <c r="U78" s="4"/>
      <c r="W78" s="3"/>
      <c r="Y78" s="4"/>
      <c r="AA78" s="3"/>
    </row>
    <row r="79" spans="5:27" s="2" customFormat="1" x14ac:dyDescent="0.25">
      <c r="E79" s="4"/>
      <c r="G79" s="3"/>
      <c r="I79" s="4"/>
      <c r="K79" s="3"/>
      <c r="M79" s="4"/>
      <c r="O79" s="3"/>
      <c r="Q79" s="4"/>
      <c r="S79" s="3"/>
      <c r="U79" s="4"/>
      <c r="W79" s="3"/>
      <c r="Y79" s="4"/>
      <c r="AA79" s="3"/>
    </row>
    <row r="80" spans="5:27" s="2" customFormat="1" x14ac:dyDescent="0.25">
      <c r="E80" s="4"/>
      <c r="G80" s="3"/>
      <c r="I80" s="4"/>
      <c r="K80" s="3"/>
      <c r="M80" s="4"/>
      <c r="O80" s="3"/>
      <c r="Q80" s="4"/>
      <c r="S80" s="3"/>
      <c r="U80" s="4"/>
      <c r="W80" s="3"/>
      <c r="Y80" s="4"/>
      <c r="AA80" s="3"/>
    </row>
    <row r="81" spans="5:27" s="2" customFormat="1" x14ac:dyDescent="0.25">
      <c r="E81" s="4"/>
      <c r="G81" s="3"/>
      <c r="I81" s="4"/>
      <c r="K81" s="3"/>
      <c r="M81" s="4"/>
      <c r="O81" s="3"/>
      <c r="Q81" s="4"/>
      <c r="S81" s="3"/>
      <c r="U81" s="4"/>
      <c r="W81" s="3"/>
      <c r="Y81" s="4"/>
      <c r="AA81" s="3"/>
    </row>
    <row r="82" spans="5:27" s="2" customFormat="1" x14ac:dyDescent="0.25">
      <c r="E82" s="4"/>
      <c r="G82" s="3"/>
      <c r="I82" s="4"/>
      <c r="K82" s="3"/>
      <c r="M82" s="4"/>
      <c r="O82" s="3"/>
      <c r="Q82" s="4"/>
      <c r="S82" s="3"/>
      <c r="U82" s="4"/>
      <c r="W82" s="3"/>
      <c r="Y82" s="4"/>
      <c r="AA82" s="3"/>
    </row>
    <row r="83" spans="5:27" s="2" customFormat="1" x14ac:dyDescent="0.25">
      <c r="E83" s="4"/>
      <c r="G83" s="3"/>
      <c r="I83" s="4"/>
      <c r="K83" s="3"/>
      <c r="M83" s="4"/>
      <c r="O83" s="3"/>
      <c r="Q83" s="4"/>
      <c r="S83" s="3"/>
      <c r="U83" s="4"/>
      <c r="W83" s="3"/>
      <c r="Y83" s="4"/>
      <c r="AA83" s="3"/>
    </row>
    <row r="84" spans="5:27" s="2" customFormat="1" x14ac:dyDescent="0.25">
      <c r="E84" s="4"/>
      <c r="G84" s="3"/>
      <c r="I84" s="4"/>
      <c r="K84" s="3"/>
      <c r="M84" s="4"/>
      <c r="O84" s="3"/>
      <c r="Q84" s="4"/>
      <c r="S84" s="3"/>
      <c r="U84" s="4"/>
      <c r="W84" s="3"/>
      <c r="Y84" s="4"/>
      <c r="AA84" s="3"/>
    </row>
    <row r="85" spans="5:27" s="2" customFormat="1" x14ac:dyDescent="0.25">
      <c r="E85" s="4"/>
      <c r="G85" s="3"/>
      <c r="I85" s="4"/>
      <c r="K85" s="3"/>
      <c r="M85" s="4"/>
      <c r="O85" s="3"/>
      <c r="Q85" s="4"/>
      <c r="S85" s="3"/>
      <c r="U85" s="4"/>
      <c r="W85" s="3"/>
      <c r="Y85" s="4"/>
      <c r="AA85" s="3"/>
    </row>
    <row r="86" spans="5:27" s="2" customFormat="1" x14ac:dyDescent="0.25">
      <c r="E86" s="4"/>
      <c r="G86" s="3"/>
      <c r="I86" s="4"/>
      <c r="K86" s="3"/>
      <c r="M86" s="4"/>
      <c r="O86" s="3"/>
      <c r="Q86" s="4"/>
      <c r="S86" s="3"/>
      <c r="U86" s="4"/>
      <c r="W86" s="3"/>
      <c r="Y86" s="4"/>
      <c r="AA86" s="3"/>
    </row>
    <row r="87" spans="5:27" s="2" customFormat="1" x14ac:dyDescent="0.25">
      <c r="E87" s="4"/>
      <c r="G87" s="3"/>
      <c r="I87" s="4"/>
      <c r="K87" s="3"/>
      <c r="M87" s="4"/>
      <c r="O87" s="3"/>
      <c r="Q87" s="4"/>
      <c r="S87" s="3"/>
      <c r="U87" s="4"/>
      <c r="W87" s="3"/>
      <c r="Y87" s="4"/>
      <c r="AA87" s="3"/>
    </row>
    <row r="88" spans="5:27" s="2" customFormat="1" x14ac:dyDescent="0.25">
      <c r="E88" s="4"/>
      <c r="G88" s="3"/>
      <c r="I88" s="4"/>
      <c r="K88" s="3"/>
      <c r="M88" s="4"/>
      <c r="O88" s="3"/>
      <c r="Q88" s="4"/>
      <c r="S88" s="3"/>
      <c r="U88" s="4"/>
      <c r="W88" s="3"/>
      <c r="Y88" s="4"/>
      <c r="AA88" s="3"/>
    </row>
    <row r="89" spans="5:27" s="2" customFormat="1" x14ac:dyDescent="0.25">
      <c r="E89" s="4"/>
      <c r="G89" s="3"/>
      <c r="I89" s="4"/>
      <c r="K89" s="3"/>
      <c r="M89" s="4"/>
      <c r="O89" s="3"/>
      <c r="Q89" s="4"/>
      <c r="S89" s="3"/>
      <c r="U89" s="4"/>
      <c r="W89" s="3"/>
      <c r="Y89" s="4"/>
      <c r="AA89" s="3"/>
    </row>
    <row r="90" spans="5:27" s="2" customFormat="1" x14ac:dyDescent="0.25">
      <c r="E90" s="4"/>
      <c r="G90" s="3"/>
      <c r="I90" s="4"/>
      <c r="K90" s="3"/>
      <c r="M90" s="4"/>
      <c r="O90" s="3"/>
      <c r="Q90" s="4"/>
      <c r="S90" s="3"/>
      <c r="U90" s="4"/>
      <c r="W90" s="3"/>
      <c r="Y90" s="4"/>
      <c r="AA90" s="3"/>
    </row>
    <row r="91" spans="5:27" s="2" customFormat="1" x14ac:dyDescent="0.25">
      <c r="E91" s="4"/>
      <c r="G91" s="3"/>
      <c r="I91" s="4"/>
      <c r="K91" s="3"/>
      <c r="M91" s="4"/>
      <c r="O91" s="3"/>
      <c r="Q91" s="4"/>
      <c r="S91" s="3"/>
      <c r="U91" s="4"/>
      <c r="W91" s="3"/>
      <c r="Y91" s="4"/>
      <c r="AA91" s="3"/>
    </row>
    <row r="92" spans="5:27" s="2" customFormat="1" x14ac:dyDescent="0.25">
      <c r="E92" s="4"/>
      <c r="G92" s="3"/>
      <c r="I92" s="4"/>
      <c r="K92" s="3"/>
      <c r="M92" s="4"/>
      <c r="O92" s="3"/>
      <c r="Q92" s="4"/>
      <c r="S92" s="3"/>
      <c r="U92" s="4"/>
      <c r="W92" s="3"/>
      <c r="Y92" s="4"/>
      <c r="AA92" s="3"/>
    </row>
    <row r="93" spans="5:27" s="2" customFormat="1" x14ac:dyDescent="0.25">
      <c r="E93" s="4"/>
      <c r="G93" s="3"/>
      <c r="I93" s="4"/>
      <c r="K93" s="3"/>
      <c r="M93" s="4"/>
      <c r="O93" s="3"/>
      <c r="Q93" s="4"/>
      <c r="S93" s="3"/>
      <c r="U93" s="4"/>
      <c r="W93" s="3"/>
      <c r="Y93" s="4"/>
      <c r="AA93" s="3"/>
    </row>
    <row r="94" spans="5:27" s="2" customFormat="1" x14ac:dyDescent="0.25">
      <c r="E94" s="4"/>
      <c r="G94" s="3"/>
      <c r="I94" s="4"/>
      <c r="K94" s="3"/>
      <c r="M94" s="4"/>
      <c r="O94" s="3"/>
      <c r="Q94" s="4"/>
      <c r="S94" s="3"/>
      <c r="U94" s="4"/>
      <c r="W94" s="3"/>
      <c r="Y94" s="4"/>
      <c r="AA94" s="3"/>
    </row>
    <row r="95" spans="5:27" s="2" customFormat="1" x14ac:dyDescent="0.25">
      <c r="E95" s="4"/>
      <c r="G95" s="3"/>
      <c r="I95" s="4"/>
      <c r="K95" s="3"/>
      <c r="M95" s="4"/>
      <c r="O95" s="3"/>
      <c r="Q95" s="4"/>
      <c r="S95" s="3"/>
      <c r="U95" s="4"/>
      <c r="W95" s="3"/>
      <c r="Y95" s="4"/>
      <c r="AA95" s="3"/>
    </row>
    <row r="96" spans="5:27" s="2" customFormat="1" x14ac:dyDescent="0.25">
      <c r="E96" s="4"/>
      <c r="G96" s="3"/>
      <c r="I96" s="4"/>
      <c r="K96" s="3"/>
      <c r="M96" s="4"/>
      <c r="O96" s="3"/>
      <c r="Q96" s="4"/>
      <c r="S96" s="3"/>
      <c r="U96" s="4"/>
      <c r="W96" s="3"/>
      <c r="Y96" s="4"/>
      <c r="AA96" s="3"/>
    </row>
    <row r="97" spans="5:27" s="2" customFormat="1" x14ac:dyDescent="0.25">
      <c r="E97" s="4"/>
      <c r="G97" s="3"/>
      <c r="I97" s="4"/>
      <c r="K97" s="3"/>
      <c r="M97" s="4"/>
      <c r="O97" s="3"/>
      <c r="Q97" s="4"/>
      <c r="S97" s="3"/>
      <c r="U97" s="4"/>
      <c r="W97" s="3"/>
      <c r="Y97" s="4"/>
      <c r="AA97" s="3"/>
    </row>
    <row r="98" spans="5:27" s="2" customFormat="1" x14ac:dyDescent="0.25">
      <c r="E98" s="4"/>
      <c r="G98" s="3"/>
      <c r="I98" s="4"/>
      <c r="K98" s="3"/>
      <c r="M98" s="4"/>
      <c r="O98" s="3"/>
      <c r="Q98" s="4"/>
      <c r="S98" s="3"/>
      <c r="U98" s="4"/>
      <c r="W98" s="3"/>
      <c r="Y98" s="4"/>
      <c r="AA98" s="3"/>
    </row>
    <row r="99" spans="5:27" s="2" customFormat="1" x14ac:dyDescent="0.25">
      <c r="E99" s="4"/>
      <c r="G99" s="3"/>
      <c r="I99" s="4"/>
      <c r="K99" s="3"/>
      <c r="M99" s="4"/>
      <c r="O99" s="3"/>
      <c r="Q99" s="4"/>
      <c r="S99" s="3"/>
      <c r="U99" s="4"/>
      <c r="W99" s="3"/>
      <c r="Y99" s="4"/>
      <c r="AA99" s="3"/>
    </row>
    <row r="100" spans="5:27" s="2" customFormat="1" x14ac:dyDescent="0.25">
      <c r="E100" s="4"/>
      <c r="G100" s="3"/>
      <c r="I100" s="4"/>
      <c r="K100" s="3"/>
      <c r="M100" s="4"/>
      <c r="O100" s="3"/>
      <c r="Q100" s="4"/>
      <c r="S100" s="3"/>
      <c r="U100" s="4"/>
      <c r="W100" s="3"/>
      <c r="Y100" s="4"/>
      <c r="AA100" s="3"/>
    </row>
    <row r="101" spans="5:27" s="2" customFormat="1" x14ac:dyDescent="0.25">
      <c r="E101" s="4"/>
      <c r="G101" s="3"/>
      <c r="I101" s="4"/>
      <c r="K101" s="3"/>
      <c r="M101" s="4"/>
      <c r="O101" s="3"/>
      <c r="Q101" s="4"/>
      <c r="S101" s="3"/>
      <c r="U101" s="4"/>
      <c r="W101" s="3"/>
      <c r="Y101" s="4"/>
      <c r="AA101" s="3"/>
    </row>
    <row r="102" spans="5:27" s="2" customFormat="1" x14ac:dyDescent="0.25">
      <c r="E102" s="4"/>
      <c r="G102" s="3"/>
      <c r="I102" s="4"/>
      <c r="K102" s="3"/>
      <c r="M102" s="4"/>
      <c r="O102" s="3"/>
      <c r="Q102" s="4"/>
      <c r="S102" s="3"/>
      <c r="U102" s="4"/>
      <c r="W102" s="3"/>
      <c r="Y102" s="4"/>
      <c r="AA102" s="3"/>
    </row>
    <row r="103" spans="5:27" s="2" customFormat="1" x14ac:dyDescent="0.25">
      <c r="E103" s="4"/>
      <c r="G103" s="3"/>
      <c r="I103" s="4"/>
      <c r="K103" s="3"/>
      <c r="M103" s="4"/>
      <c r="O103" s="3"/>
      <c r="Q103" s="4"/>
      <c r="S103" s="3"/>
      <c r="U103" s="4"/>
      <c r="W103" s="3"/>
      <c r="Y103" s="4"/>
      <c r="AA103" s="3"/>
    </row>
    <row r="104" spans="5:27" s="2" customFormat="1" x14ac:dyDescent="0.25">
      <c r="E104" s="4"/>
      <c r="G104" s="3"/>
      <c r="I104" s="4"/>
      <c r="K104" s="3"/>
      <c r="M104" s="4"/>
      <c r="O104" s="3"/>
      <c r="Q104" s="4"/>
      <c r="S104" s="3"/>
      <c r="U104" s="4"/>
      <c r="W104" s="3"/>
      <c r="Y104" s="4"/>
      <c r="AA104" s="3"/>
    </row>
    <row r="105" spans="5:27" s="2" customFormat="1" x14ac:dyDescent="0.25">
      <c r="E105" s="4"/>
      <c r="G105" s="3"/>
      <c r="I105" s="4"/>
      <c r="K105" s="3"/>
      <c r="M105" s="4"/>
      <c r="O105" s="3"/>
      <c r="Q105" s="4"/>
      <c r="S105" s="3"/>
      <c r="U105" s="4"/>
      <c r="W105" s="3"/>
      <c r="Y105" s="4"/>
      <c r="AA105" s="3"/>
    </row>
    <row r="106" spans="5:27" s="2" customFormat="1" x14ac:dyDescent="0.25">
      <c r="E106" s="4"/>
      <c r="G106" s="3"/>
      <c r="I106" s="4"/>
      <c r="K106" s="3"/>
      <c r="M106" s="4"/>
      <c r="O106" s="3"/>
      <c r="Q106" s="4"/>
      <c r="S106" s="3"/>
      <c r="U106" s="4"/>
      <c r="W106" s="3"/>
      <c r="Y106" s="4"/>
      <c r="AA106" s="3"/>
    </row>
    <row r="107" spans="5:27" s="2" customFormat="1" x14ac:dyDescent="0.25">
      <c r="E107" s="4"/>
      <c r="G107" s="3"/>
      <c r="I107" s="4"/>
      <c r="K107" s="3"/>
      <c r="M107" s="4"/>
      <c r="O107" s="3"/>
      <c r="Q107" s="4"/>
      <c r="S107" s="3"/>
      <c r="U107" s="4"/>
      <c r="W107" s="3"/>
      <c r="Y107" s="4"/>
      <c r="AA107" s="3"/>
    </row>
    <row r="108" spans="5:27" s="2" customFormat="1" x14ac:dyDescent="0.25">
      <c r="E108" s="4"/>
      <c r="G108" s="3"/>
      <c r="I108" s="4"/>
      <c r="K108" s="3"/>
      <c r="M108" s="4"/>
      <c r="O108" s="3"/>
      <c r="Q108" s="4"/>
      <c r="S108" s="3"/>
      <c r="U108" s="4"/>
      <c r="W108" s="3"/>
      <c r="Y108" s="4"/>
      <c r="AA108" s="3"/>
    </row>
    <row r="109" spans="5:27" s="2" customFormat="1" x14ac:dyDescent="0.25">
      <c r="E109" s="4"/>
      <c r="G109" s="3"/>
      <c r="I109" s="4"/>
      <c r="K109" s="3"/>
      <c r="M109" s="4"/>
      <c r="O109" s="3"/>
      <c r="Q109" s="4"/>
      <c r="S109" s="3"/>
      <c r="U109" s="4"/>
      <c r="W109" s="3"/>
      <c r="Y109" s="4"/>
      <c r="AA109" s="3"/>
    </row>
    <row r="110" spans="5:27" s="2" customFormat="1" x14ac:dyDescent="0.25">
      <c r="E110" s="4"/>
      <c r="G110" s="3"/>
      <c r="I110" s="4"/>
      <c r="K110" s="3"/>
      <c r="M110" s="4"/>
      <c r="O110" s="3"/>
      <c r="Q110" s="4"/>
      <c r="S110" s="3"/>
      <c r="U110" s="4"/>
      <c r="W110" s="3"/>
      <c r="Y110" s="4"/>
      <c r="AA110" s="3"/>
    </row>
    <row r="111" spans="5:27" s="2" customFormat="1" x14ac:dyDescent="0.25">
      <c r="E111" s="4"/>
      <c r="G111" s="3"/>
      <c r="I111" s="4"/>
      <c r="K111" s="3"/>
      <c r="M111" s="4"/>
      <c r="O111" s="3"/>
      <c r="Q111" s="4"/>
      <c r="S111" s="3"/>
      <c r="U111" s="4"/>
      <c r="W111" s="3"/>
      <c r="Y111" s="4"/>
      <c r="AA111" s="3"/>
    </row>
    <row r="112" spans="5:27" s="2" customFormat="1" x14ac:dyDescent="0.25">
      <c r="E112" s="4"/>
      <c r="G112" s="3"/>
      <c r="I112" s="4"/>
      <c r="K112" s="3"/>
      <c r="M112" s="4"/>
      <c r="O112" s="3"/>
      <c r="Q112" s="4"/>
      <c r="S112" s="3"/>
      <c r="U112" s="4"/>
      <c r="W112" s="3"/>
      <c r="Y112" s="4"/>
      <c r="AA112" s="3"/>
    </row>
    <row r="113" spans="5:27" s="2" customFormat="1" x14ac:dyDescent="0.25">
      <c r="E113" s="4"/>
      <c r="G113" s="3"/>
      <c r="I113" s="4"/>
      <c r="K113" s="3"/>
      <c r="M113" s="4"/>
      <c r="O113" s="3"/>
      <c r="Q113" s="4"/>
      <c r="S113" s="3"/>
      <c r="U113" s="4"/>
      <c r="W113" s="3"/>
      <c r="Y113" s="4"/>
      <c r="AA113" s="3"/>
    </row>
    <row r="114" spans="5:27" s="2" customFormat="1" x14ac:dyDescent="0.25">
      <c r="E114" s="4"/>
      <c r="G114" s="3"/>
      <c r="I114" s="4"/>
      <c r="K114" s="3"/>
      <c r="M114" s="4"/>
      <c r="O114" s="3"/>
      <c r="Q114" s="4"/>
      <c r="S114" s="3"/>
      <c r="U114" s="4"/>
      <c r="W114" s="3"/>
      <c r="Y114" s="4"/>
      <c r="AA114" s="3"/>
    </row>
    <row r="115" spans="5:27" s="2" customFormat="1" x14ac:dyDescent="0.25">
      <c r="E115" s="4"/>
      <c r="G115" s="3"/>
      <c r="I115" s="4"/>
      <c r="K115" s="3"/>
      <c r="M115" s="4"/>
      <c r="O115" s="3"/>
      <c r="Q115" s="4"/>
      <c r="S115" s="3"/>
      <c r="U115" s="4"/>
      <c r="W115" s="3"/>
      <c r="Y115" s="4"/>
      <c r="AA115" s="3"/>
    </row>
    <row r="116" spans="5:27" s="2" customFormat="1" x14ac:dyDescent="0.25">
      <c r="E116" s="4"/>
      <c r="G116" s="3"/>
      <c r="I116" s="4"/>
      <c r="K116" s="3"/>
      <c r="M116" s="4"/>
      <c r="O116" s="3"/>
      <c r="Q116" s="4"/>
      <c r="S116" s="3"/>
      <c r="U116" s="4"/>
      <c r="W116" s="3"/>
      <c r="Y116" s="4"/>
      <c r="AA116" s="3"/>
    </row>
    <row r="117" spans="5:27" s="2" customFormat="1" x14ac:dyDescent="0.25">
      <c r="E117" s="4"/>
      <c r="G117" s="3"/>
      <c r="I117" s="4"/>
      <c r="K117" s="3"/>
      <c r="M117" s="4"/>
      <c r="O117" s="3"/>
      <c r="Q117" s="4"/>
      <c r="S117" s="3"/>
      <c r="U117" s="4"/>
      <c r="W117" s="3"/>
      <c r="Y117" s="4"/>
      <c r="AA117" s="3"/>
    </row>
    <row r="118" spans="5:27" s="2" customFormat="1" x14ac:dyDescent="0.25">
      <c r="E118" s="4"/>
      <c r="G118" s="3"/>
      <c r="I118" s="4"/>
      <c r="K118" s="3"/>
      <c r="M118" s="4"/>
      <c r="O118" s="3"/>
      <c r="Q118" s="4"/>
      <c r="S118" s="3"/>
      <c r="U118" s="4"/>
      <c r="W118" s="3"/>
      <c r="Y118" s="4"/>
      <c r="AA118" s="3"/>
    </row>
    <row r="119" spans="5:27" s="2" customFormat="1" x14ac:dyDescent="0.25">
      <c r="E119" s="4"/>
      <c r="G119" s="3"/>
      <c r="I119" s="4"/>
      <c r="K119" s="3"/>
      <c r="M119" s="4"/>
      <c r="O119" s="3"/>
      <c r="Q119" s="4"/>
      <c r="S119" s="3"/>
      <c r="U119" s="4"/>
      <c r="W119" s="3"/>
      <c r="Y119" s="4"/>
      <c r="AA119" s="3"/>
    </row>
    <row r="120" spans="5:27" s="2" customFormat="1" x14ac:dyDescent="0.25">
      <c r="E120" s="4"/>
      <c r="G120" s="3"/>
      <c r="I120" s="4"/>
      <c r="K120" s="3"/>
      <c r="M120" s="4"/>
      <c r="O120" s="3"/>
      <c r="Q120" s="4"/>
      <c r="S120" s="3"/>
      <c r="U120" s="4"/>
      <c r="W120" s="3"/>
      <c r="Y120" s="4"/>
      <c r="AA120" s="3"/>
    </row>
    <row r="121" spans="5:27" s="2" customFormat="1" x14ac:dyDescent="0.25">
      <c r="E121" s="4"/>
      <c r="G121" s="3"/>
      <c r="I121" s="4"/>
      <c r="K121" s="3"/>
      <c r="M121" s="4"/>
      <c r="O121" s="3"/>
      <c r="Q121" s="4"/>
      <c r="S121" s="3"/>
      <c r="U121" s="4"/>
      <c r="W121" s="3"/>
      <c r="Y121" s="4"/>
      <c r="AA121" s="3"/>
    </row>
    <row r="122" spans="5:27" s="2" customFormat="1" x14ac:dyDescent="0.25">
      <c r="E122" s="4"/>
      <c r="G122" s="3"/>
      <c r="I122" s="4"/>
      <c r="K122" s="3"/>
      <c r="M122" s="4"/>
      <c r="O122" s="3"/>
      <c r="Q122" s="4"/>
      <c r="S122" s="3"/>
      <c r="U122" s="4"/>
      <c r="W122" s="3"/>
      <c r="Y122" s="4"/>
      <c r="AA122" s="3"/>
    </row>
    <row r="123" spans="5:27" s="2" customFormat="1" x14ac:dyDescent="0.25">
      <c r="E123" s="4"/>
      <c r="G123" s="3"/>
      <c r="I123" s="4"/>
      <c r="K123" s="3"/>
      <c r="M123" s="4"/>
      <c r="O123" s="3"/>
      <c r="Q123" s="4"/>
      <c r="S123" s="3"/>
      <c r="U123" s="4"/>
      <c r="W123" s="3"/>
      <c r="Y123" s="4"/>
      <c r="AA123" s="3"/>
    </row>
    <row r="124" spans="5:27" s="2" customFormat="1" x14ac:dyDescent="0.25">
      <c r="E124" s="4"/>
      <c r="G124" s="3"/>
      <c r="I124" s="4"/>
      <c r="K124" s="3"/>
      <c r="M124" s="4"/>
      <c r="O124" s="3"/>
      <c r="Q124" s="4"/>
      <c r="S124" s="3"/>
      <c r="U124" s="4"/>
      <c r="W124" s="3"/>
      <c r="Y124" s="4"/>
      <c r="AA124" s="3"/>
    </row>
    <row r="125" spans="5:27" s="2" customFormat="1" x14ac:dyDescent="0.25">
      <c r="E125" s="4"/>
      <c r="G125" s="3"/>
      <c r="I125" s="4"/>
      <c r="K125" s="3"/>
      <c r="M125" s="4"/>
      <c r="O125" s="3"/>
      <c r="Q125" s="4"/>
      <c r="S125" s="3"/>
      <c r="U125" s="4"/>
      <c r="W125" s="3"/>
      <c r="Y125" s="4"/>
      <c r="AA125" s="3"/>
    </row>
    <row r="126" spans="5:27" s="2" customFormat="1" x14ac:dyDescent="0.25">
      <c r="E126" s="4"/>
      <c r="G126" s="3"/>
      <c r="I126" s="4"/>
      <c r="K126" s="3"/>
      <c r="M126" s="4"/>
      <c r="O126" s="3"/>
      <c r="Q126" s="4"/>
      <c r="S126" s="3"/>
      <c r="U126" s="4"/>
      <c r="W126" s="3"/>
      <c r="Y126" s="4"/>
      <c r="AA126" s="3"/>
    </row>
    <row r="127" spans="5:27" s="2" customFormat="1" x14ac:dyDescent="0.25">
      <c r="E127" s="4"/>
      <c r="G127" s="3"/>
      <c r="I127" s="4"/>
      <c r="K127" s="3"/>
      <c r="M127" s="4"/>
      <c r="O127" s="3"/>
      <c r="Q127" s="4"/>
      <c r="S127" s="3"/>
      <c r="U127" s="4"/>
      <c r="W127" s="3"/>
      <c r="Y127" s="4"/>
      <c r="AA127" s="3"/>
    </row>
    <row r="128" spans="5:27" s="2" customFormat="1" x14ac:dyDescent="0.25">
      <c r="E128" s="4"/>
      <c r="G128" s="3"/>
      <c r="I128" s="4"/>
      <c r="K128" s="3"/>
      <c r="M128" s="4"/>
      <c r="O128" s="3"/>
      <c r="Q128" s="4"/>
      <c r="S128" s="3"/>
      <c r="U128" s="4"/>
      <c r="W128" s="3"/>
      <c r="Y128" s="4"/>
      <c r="AA128" s="3"/>
    </row>
    <row r="129" spans="5:27" s="2" customFormat="1" x14ac:dyDescent="0.25">
      <c r="E129" s="4"/>
      <c r="G129" s="3"/>
      <c r="I129" s="4"/>
      <c r="K129" s="3"/>
      <c r="M129" s="4"/>
      <c r="O129" s="3"/>
      <c r="Q129" s="4"/>
      <c r="S129" s="3"/>
      <c r="U129" s="4"/>
      <c r="W129" s="3"/>
      <c r="Y129" s="4"/>
      <c r="AA129" s="3"/>
    </row>
    <row r="130" spans="5:27" s="2" customFormat="1" x14ac:dyDescent="0.25">
      <c r="E130" s="4"/>
      <c r="G130" s="3"/>
      <c r="I130" s="4"/>
      <c r="K130" s="3"/>
      <c r="M130" s="4"/>
      <c r="O130" s="3"/>
      <c r="Q130" s="4"/>
      <c r="S130" s="3"/>
      <c r="U130" s="4"/>
      <c r="W130" s="3"/>
      <c r="Y130" s="4"/>
      <c r="AA130" s="3"/>
    </row>
    <row r="131" spans="5:27" s="2" customFormat="1" x14ac:dyDescent="0.25">
      <c r="E131" s="4"/>
      <c r="G131" s="3"/>
      <c r="I131" s="4"/>
      <c r="K131" s="3"/>
      <c r="M131" s="4"/>
      <c r="O131" s="3"/>
      <c r="Q131" s="4"/>
      <c r="S131" s="3"/>
      <c r="U131" s="4"/>
      <c r="W131" s="3"/>
      <c r="Y131" s="4"/>
      <c r="AA131" s="3"/>
    </row>
    <row r="132" spans="5:27" s="2" customFormat="1" x14ac:dyDescent="0.25">
      <c r="E132" s="4"/>
      <c r="G132" s="3"/>
      <c r="I132" s="4"/>
      <c r="K132" s="3"/>
      <c r="M132" s="4"/>
      <c r="O132" s="3"/>
      <c r="Q132" s="4"/>
      <c r="S132" s="3"/>
      <c r="U132" s="4"/>
      <c r="W132" s="3"/>
      <c r="Y132" s="4"/>
      <c r="AA132" s="3"/>
    </row>
    <row r="133" spans="5:27" s="2" customFormat="1" x14ac:dyDescent="0.25">
      <c r="E133" s="4"/>
      <c r="G133" s="3"/>
      <c r="I133" s="4"/>
      <c r="K133" s="3"/>
      <c r="M133" s="4"/>
      <c r="O133" s="3"/>
      <c r="Q133" s="4"/>
      <c r="S133" s="3"/>
      <c r="U133" s="4"/>
      <c r="W133" s="3"/>
      <c r="Y133" s="4"/>
      <c r="AA133" s="3"/>
    </row>
    <row r="134" spans="5:27" s="2" customFormat="1" x14ac:dyDescent="0.25">
      <c r="E134" s="4"/>
      <c r="G134" s="3"/>
      <c r="I134" s="4"/>
      <c r="K134" s="3"/>
      <c r="M134" s="4"/>
      <c r="O134" s="3"/>
      <c r="Q134" s="4"/>
      <c r="S134" s="3"/>
      <c r="U134" s="4"/>
      <c r="W134" s="3"/>
      <c r="Y134" s="4"/>
      <c r="AA134" s="3"/>
    </row>
    <row r="135" spans="5:27" s="2" customFormat="1" x14ac:dyDescent="0.25">
      <c r="E135" s="4"/>
      <c r="G135" s="3"/>
      <c r="I135" s="4"/>
      <c r="K135" s="3"/>
      <c r="M135" s="4"/>
      <c r="O135" s="3"/>
      <c r="Q135" s="4"/>
      <c r="S135" s="3"/>
      <c r="U135" s="4"/>
      <c r="W135" s="3"/>
      <c r="Y135" s="4"/>
      <c r="AA135" s="3"/>
    </row>
    <row r="136" spans="5:27" s="2" customFormat="1" x14ac:dyDescent="0.25">
      <c r="E136" s="4"/>
      <c r="G136" s="3"/>
      <c r="I136" s="4"/>
      <c r="K136" s="3"/>
      <c r="M136" s="4"/>
      <c r="O136" s="3"/>
      <c r="Q136" s="4"/>
      <c r="S136" s="3"/>
      <c r="U136" s="4"/>
      <c r="W136" s="3"/>
      <c r="Y136" s="4"/>
      <c r="AA136" s="3"/>
    </row>
    <row r="137" spans="5:27" s="2" customFormat="1" x14ac:dyDescent="0.25">
      <c r="E137" s="4"/>
      <c r="G137" s="3"/>
      <c r="I137" s="4"/>
      <c r="K137" s="3"/>
      <c r="M137" s="4"/>
      <c r="O137" s="3"/>
      <c r="Q137" s="4"/>
      <c r="S137" s="3"/>
      <c r="U137" s="4"/>
      <c r="W137" s="3"/>
      <c r="Y137" s="4"/>
      <c r="AA137" s="3"/>
    </row>
    <row r="138" spans="5:27" s="2" customFormat="1" x14ac:dyDescent="0.25">
      <c r="E138" s="4"/>
      <c r="G138" s="3"/>
      <c r="I138" s="4"/>
      <c r="K138" s="3"/>
      <c r="M138" s="4"/>
      <c r="O138" s="3"/>
      <c r="Q138" s="4"/>
      <c r="S138" s="3"/>
      <c r="U138" s="4"/>
      <c r="W138" s="3"/>
      <c r="Y138" s="4"/>
      <c r="AA138" s="3"/>
    </row>
    <row r="139" spans="5:27" s="2" customFormat="1" x14ac:dyDescent="0.25">
      <c r="E139" s="4"/>
      <c r="G139" s="3"/>
      <c r="I139" s="4"/>
      <c r="K139" s="3"/>
      <c r="M139" s="4"/>
      <c r="O139" s="3"/>
      <c r="Q139" s="4"/>
      <c r="S139" s="3"/>
      <c r="U139" s="4"/>
      <c r="W139" s="3"/>
      <c r="Y139" s="4"/>
      <c r="AA139" s="3"/>
    </row>
    <row r="140" spans="5:27" s="2" customFormat="1" x14ac:dyDescent="0.25">
      <c r="E140" s="4"/>
      <c r="G140" s="3"/>
      <c r="I140" s="4"/>
      <c r="K140" s="3"/>
      <c r="M140" s="4"/>
      <c r="O140" s="3"/>
      <c r="Q140" s="4"/>
      <c r="S140" s="3"/>
      <c r="U140" s="4"/>
      <c r="W140" s="3"/>
      <c r="Y140" s="4"/>
      <c r="AA140" s="3"/>
    </row>
    <row r="141" spans="5:27" s="2" customFormat="1" x14ac:dyDescent="0.25">
      <c r="E141" s="4"/>
      <c r="G141" s="3"/>
      <c r="I141" s="4"/>
      <c r="K141" s="3"/>
      <c r="M141" s="4"/>
      <c r="O141" s="3"/>
      <c r="Q141" s="4"/>
      <c r="S141" s="3"/>
      <c r="U141" s="4"/>
      <c r="W141" s="3"/>
      <c r="Y141" s="4"/>
      <c r="AA141" s="3"/>
    </row>
    <row r="142" spans="5:27" s="2" customFormat="1" x14ac:dyDescent="0.25">
      <c r="E142" s="4"/>
      <c r="G142" s="3"/>
      <c r="I142" s="4"/>
      <c r="K142" s="3"/>
      <c r="M142" s="4"/>
      <c r="O142" s="3"/>
      <c r="Q142" s="4"/>
      <c r="S142" s="3"/>
      <c r="U142" s="4"/>
      <c r="W142" s="3"/>
      <c r="Y142" s="4"/>
      <c r="AA142" s="3"/>
    </row>
    <row r="143" spans="5:27" s="2" customFormat="1" x14ac:dyDescent="0.25">
      <c r="E143" s="4"/>
      <c r="G143" s="3"/>
      <c r="I143" s="4"/>
      <c r="K143" s="3"/>
      <c r="M143" s="4"/>
      <c r="O143" s="3"/>
      <c r="Q143" s="4"/>
      <c r="S143" s="3"/>
      <c r="U143" s="4"/>
      <c r="W143" s="3"/>
      <c r="Y143" s="4"/>
      <c r="AA143" s="3"/>
    </row>
    <row r="144" spans="5:27" s="2" customFormat="1" x14ac:dyDescent="0.25">
      <c r="E144" s="4"/>
      <c r="G144" s="3"/>
      <c r="I144" s="4"/>
      <c r="K144" s="3"/>
      <c r="M144" s="4"/>
      <c r="O144" s="3"/>
      <c r="Q144" s="4"/>
      <c r="S144" s="3"/>
      <c r="U144" s="4"/>
      <c r="W144" s="3"/>
      <c r="Y144" s="4"/>
      <c r="AA144" s="3"/>
    </row>
    <row r="145" spans="5:27" s="2" customFormat="1" x14ac:dyDescent="0.25">
      <c r="E145" s="4"/>
      <c r="G145" s="3"/>
      <c r="I145" s="4"/>
      <c r="K145" s="3"/>
      <c r="M145" s="4"/>
      <c r="O145" s="3"/>
      <c r="Q145" s="4"/>
      <c r="S145" s="3"/>
      <c r="U145" s="4"/>
      <c r="W145" s="3"/>
      <c r="Y145" s="4"/>
      <c r="AA145" s="3"/>
    </row>
    <row r="146" spans="5:27" s="2" customFormat="1" x14ac:dyDescent="0.25">
      <c r="E146" s="4"/>
      <c r="G146" s="3"/>
      <c r="I146" s="4"/>
      <c r="K146" s="3"/>
      <c r="M146" s="4"/>
      <c r="O146" s="3"/>
      <c r="Q146" s="4"/>
      <c r="S146" s="3"/>
      <c r="U146" s="4"/>
      <c r="W146" s="3"/>
      <c r="Y146" s="4"/>
      <c r="AA146" s="3"/>
    </row>
    <row r="147" spans="5:27" s="2" customFormat="1" x14ac:dyDescent="0.25">
      <c r="E147" s="4"/>
      <c r="G147" s="3"/>
      <c r="I147" s="4"/>
      <c r="K147" s="3"/>
      <c r="M147" s="4"/>
      <c r="O147" s="3"/>
      <c r="Q147" s="4"/>
      <c r="S147" s="3"/>
      <c r="U147" s="4"/>
      <c r="W147" s="3"/>
      <c r="Y147" s="4"/>
      <c r="AA147" s="3"/>
    </row>
    <row r="148" spans="5:27" s="2" customFormat="1" x14ac:dyDescent="0.25">
      <c r="E148" s="4"/>
      <c r="G148" s="3"/>
      <c r="I148" s="4"/>
      <c r="K148" s="3"/>
      <c r="M148" s="4"/>
      <c r="O148" s="3"/>
      <c r="Q148" s="4"/>
      <c r="S148" s="3"/>
      <c r="U148" s="4"/>
      <c r="W148" s="3"/>
      <c r="Y148" s="4"/>
      <c r="AA148" s="3"/>
    </row>
    <row r="149" spans="5:27" s="2" customFormat="1" x14ac:dyDescent="0.25">
      <c r="E149" s="4"/>
      <c r="G149" s="3"/>
      <c r="I149" s="4"/>
      <c r="K149" s="3"/>
      <c r="M149" s="4"/>
      <c r="O149" s="3"/>
      <c r="Q149" s="4"/>
      <c r="S149" s="3"/>
      <c r="U149" s="4"/>
      <c r="W149" s="3"/>
      <c r="Y149" s="4"/>
      <c r="AA149" s="3"/>
    </row>
    <row r="150" spans="5:27" s="2" customFormat="1" x14ac:dyDescent="0.25">
      <c r="E150" s="4"/>
      <c r="G150" s="3"/>
      <c r="I150" s="4"/>
      <c r="K150" s="3"/>
      <c r="M150" s="4"/>
      <c r="O150" s="3"/>
      <c r="Q150" s="4"/>
      <c r="S150" s="3"/>
      <c r="U150" s="4"/>
      <c r="W150" s="3"/>
      <c r="Y150" s="4"/>
      <c r="AA150" s="3"/>
    </row>
    <row r="151" spans="5:27" s="2" customFormat="1" x14ac:dyDescent="0.25">
      <c r="E151" s="4"/>
      <c r="G151" s="3"/>
      <c r="I151" s="4"/>
      <c r="K151" s="3"/>
      <c r="M151" s="4"/>
      <c r="O151" s="3"/>
      <c r="Q151" s="4"/>
      <c r="S151" s="3"/>
      <c r="U151" s="4"/>
      <c r="W151" s="3"/>
      <c r="Y151" s="4"/>
      <c r="AA151" s="3"/>
    </row>
    <row r="152" spans="5:27" s="2" customFormat="1" x14ac:dyDescent="0.25">
      <c r="E152" s="4"/>
      <c r="G152" s="3"/>
      <c r="I152" s="4"/>
      <c r="K152" s="3"/>
      <c r="M152" s="4"/>
      <c r="O152" s="3"/>
      <c r="Q152" s="4"/>
      <c r="S152" s="3"/>
      <c r="U152" s="4"/>
      <c r="W152" s="3"/>
      <c r="Y152" s="4"/>
      <c r="AA152" s="3"/>
    </row>
    <row r="153" spans="5:27" s="2" customFormat="1" x14ac:dyDescent="0.25">
      <c r="E153" s="4"/>
      <c r="G153" s="3"/>
      <c r="I153" s="4"/>
      <c r="K153" s="3"/>
      <c r="M153" s="4"/>
      <c r="O153" s="3"/>
      <c r="Q153" s="4"/>
      <c r="S153" s="3"/>
      <c r="U153" s="4"/>
      <c r="W153" s="3"/>
      <c r="Y153" s="4"/>
      <c r="AA153" s="3"/>
    </row>
    <row r="154" spans="5:27" s="2" customFormat="1" x14ac:dyDescent="0.25">
      <c r="E154" s="4"/>
      <c r="G154" s="3"/>
      <c r="I154" s="4"/>
      <c r="K154" s="3"/>
      <c r="M154" s="4"/>
      <c r="O154" s="3"/>
      <c r="Q154" s="4"/>
      <c r="S154" s="3"/>
      <c r="U154" s="4"/>
      <c r="W154" s="3"/>
      <c r="Y154" s="4"/>
      <c r="AA154" s="3"/>
    </row>
    <row r="155" spans="5:27" s="2" customFormat="1" x14ac:dyDescent="0.25">
      <c r="E155" s="4"/>
      <c r="G155" s="3"/>
      <c r="I155" s="4"/>
      <c r="K155" s="3"/>
      <c r="M155" s="4"/>
      <c r="O155" s="3"/>
      <c r="Q155" s="4"/>
      <c r="S155" s="3"/>
      <c r="U155" s="4"/>
      <c r="W155" s="3"/>
      <c r="Y155" s="4"/>
      <c r="AA155" s="3"/>
    </row>
    <row r="156" spans="5:27" s="2" customFormat="1" x14ac:dyDescent="0.25">
      <c r="E156" s="4"/>
      <c r="G156" s="3"/>
      <c r="I156" s="4"/>
      <c r="K156" s="3"/>
      <c r="M156" s="4"/>
      <c r="O156" s="3"/>
      <c r="Q156" s="4"/>
      <c r="S156" s="3"/>
      <c r="U156" s="4"/>
      <c r="W156" s="3"/>
      <c r="Y156" s="4"/>
      <c r="AA156" s="3"/>
    </row>
    <row r="157" spans="5:27" s="2" customFormat="1" x14ac:dyDescent="0.25">
      <c r="E157" s="4"/>
      <c r="G157" s="3"/>
      <c r="I157" s="4"/>
      <c r="K157" s="3"/>
      <c r="M157" s="4"/>
      <c r="O157" s="3"/>
      <c r="Q157" s="4"/>
      <c r="S157" s="3"/>
      <c r="U157" s="4"/>
      <c r="W157" s="3"/>
      <c r="Y157" s="4"/>
      <c r="AA157" s="3"/>
    </row>
    <row r="158" spans="5:27" s="2" customFormat="1" x14ac:dyDescent="0.25">
      <c r="E158" s="4"/>
      <c r="G158" s="3"/>
      <c r="I158" s="4"/>
      <c r="K158" s="3"/>
      <c r="M158" s="4"/>
      <c r="O158" s="3"/>
      <c r="Q158" s="4"/>
      <c r="S158" s="3"/>
      <c r="U158" s="4"/>
      <c r="W158" s="3"/>
      <c r="Y158" s="4"/>
      <c r="AA158" s="3"/>
    </row>
    <row r="159" spans="5:27" s="2" customFormat="1" x14ac:dyDescent="0.25">
      <c r="E159" s="4"/>
      <c r="G159" s="3"/>
      <c r="I159" s="4"/>
      <c r="K159" s="3"/>
      <c r="M159" s="4"/>
      <c r="O159" s="3"/>
      <c r="Q159" s="4"/>
      <c r="S159" s="3"/>
      <c r="U159" s="4"/>
      <c r="W159" s="3"/>
      <c r="Y159" s="4"/>
      <c r="AA159" s="3"/>
    </row>
    <row r="160" spans="5:27" s="2" customFormat="1" x14ac:dyDescent="0.25">
      <c r="E160" s="4"/>
      <c r="G160" s="3"/>
      <c r="I160" s="4"/>
      <c r="K160" s="3"/>
      <c r="M160" s="4"/>
      <c r="O160" s="3"/>
      <c r="Q160" s="4"/>
      <c r="S160" s="3"/>
      <c r="U160" s="4"/>
      <c r="W160" s="3"/>
      <c r="Y160" s="4"/>
      <c r="AA160" s="3"/>
    </row>
    <row r="161" spans="5:27" s="2" customFormat="1" x14ac:dyDescent="0.25">
      <c r="E161" s="4"/>
      <c r="G161" s="3"/>
      <c r="I161" s="4"/>
      <c r="K161" s="3"/>
      <c r="M161" s="4"/>
      <c r="O161" s="3"/>
      <c r="Q161" s="4"/>
      <c r="S161" s="3"/>
      <c r="U161" s="4"/>
      <c r="W161" s="3"/>
      <c r="Y161" s="4"/>
      <c r="AA161" s="3"/>
    </row>
    <row r="162" spans="5:27" s="2" customFormat="1" x14ac:dyDescent="0.25">
      <c r="E162" s="4"/>
      <c r="G162" s="3"/>
      <c r="I162" s="4"/>
      <c r="K162" s="3"/>
      <c r="M162" s="4"/>
      <c r="O162" s="3"/>
      <c r="Q162" s="4"/>
      <c r="S162" s="3"/>
      <c r="U162" s="4"/>
      <c r="W162" s="3"/>
      <c r="Y162" s="4"/>
      <c r="AA162" s="3"/>
    </row>
    <row r="163" spans="5:27" s="2" customFormat="1" x14ac:dyDescent="0.25">
      <c r="E163" s="4"/>
      <c r="G163" s="3"/>
      <c r="I163" s="4"/>
      <c r="K163" s="3"/>
      <c r="M163" s="4"/>
      <c r="O163" s="3"/>
      <c r="Q163" s="4"/>
      <c r="S163" s="3"/>
      <c r="U163" s="4"/>
      <c r="W163" s="3"/>
      <c r="Y163" s="4"/>
      <c r="AA163" s="3"/>
    </row>
    <row r="164" spans="5:27" s="2" customFormat="1" x14ac:dyDescent="0.25">
      <c r="E164" s="4"/>
      <c r="G164" s="3"/>
      <c r="I164" s="4"/>
      <c r="K164" s="3"/>
      <c r="M164" s="4"/>
      <c r="O164" s="3"/>
      <c r="Q164" s="4"/>
      <c r="S164" s="3"/>
      <c r="U164" s="4"/>
      <c r="W164" s="3"/>
      <c r="Y164" s="4"/>
      <c r="AA164" s="3"/>
    </row>
    <row r="165" spans="5:27" s="2" customFormat="1" x14ac:dyDescent="0.25">
      <c r="E165" s="4"/>
      <c r="G165" s="3"/>
      <c r="I165" s="4"/>
      <c r="K165" s="3"/>
      <c r="M165" s="4"/>
      <c r="O165" s="3"/>
      <c r="Q165" s="4"/>
      <c r="S165" s="3"/>
      <c r="U165" s="4"/>
      <c r="W165" s="3"/>
      <c r="Y165" s="4"/>
      <c r="AA165" s="3"/>
    </row>
    <row r="166" spans="5:27" s="2" customFormat="1" x14ac:dyDescent="0.25">
      <c r="E166" s="4"/>
      <c r="G166" s="3"/>
      <c r="I166" s="4"/>
      <c r="K166" s="3"/>
      <c r="M166" s="4"/>
      <c r="O166" s="3"/>
      <c r="Q166" s="4"/>
      <c r="S166" s="3"/>
      <c r="U166" s="4"/>
      <c r="W166" s="3"/>
      <c r="Y166" s="4"/>
      <c r="AA166" s="3"/>
    </row>
    <row r="167" spans="5:27" s="2" customFormat="1" x14ac:dyDescent="0.25">
      <c r="E167" s="4"/>
      <c r="G167" s="3"/>
      <c r="I167" s="4"/>
      <c r="K167" s="3"/>
      <c r="M167" s="4"/>
      <c r="O167" s="3"/>
      <c r="Q167" s="4"/>
      <c r="S167" s="3"/>
      <c r="U167" s="4"/>
      <c r="W167" s="3"/>
      <c r="Y167" s="4"/>
      <c r="AA167" s="3"/>
    </row>
    <row r="168" spans="5:27" s="2" customFormat="1" x14ac:dyDescent="0.25">
      <c r="E168" s="4"/>
      <c r="G168" s="3"/>
      <c r="I168" s="4"/>
      <c r="K168" s="3"/>
      <c r="M168" s="4"/>
      <c r="O168" s="3"/>
      <c r="Q168" s="4"/>
      <c r="S168" s="3"/>
      <c r="U168" s="4"/>
      <c r="W168" s="3"/>
      <c r="Y168" s="4"/>
      <c r="AA168" s="3"/>
    </row>
    <row r="169" spans="5:27" s="2" customFormat="1" x14ac:dyDescent="0.25">
      <c r="E169" s="4"/>
      <c r="G169" s="3"/>
      <c r="I169" s="4"/>
      <c r="K169" s="3"/>
      <c r="M169" s="4"/>
      <c r="O169" s="3"/>
      <c r="Q169" s="4"/>
      <c r="S169" s="3"/>
      <c r="U169" s="4"/>
      <c r="W169" s="3"/>
      <c r="Y169" s="4"/>
      <c r="AA169" s="3"/>
    </row>
    <row r="170" spans="5:27" s="2" customFormat="1" x14ac:dyDescent="0.25">
      <c r="E170" s="4"/>
      <c r="G170" s="3"/>
      <c r="I170" s="4"/>
      <c r="K170" s="3"/>
      <c r="M170" s="4"/>
      <c r="O170" s="3"/>
      <c r="Q170" s="4"/>
      <c r="S170" s="3"/>
      <c r="U170" s="4"/>
      <c r="W170" s="3"/>
      <c r="Y170" s="4"/>
      <c r="AA170" s="3"/>
    </row>
    <row r="171" spans="5:27" s="2" customFormat="1" x14ac:dyDescent="0.25">
      <c r="E171" s="4"/>
      <c r="G171" s="3"/>
      <c r="I171" s="4"/>
      <c r="K171" s="3"/>
      <c r="M171" s="4"/>
      <c r="O171" s="3"/>
      <c r="Q171" s="4"/>
      <c r="S171" s="3"/>
      <c r="U171" s="4"/>
      <c r="W171" s="3"/>
      <c r="Y171" s="4"/>
      <c r="AA171" s="3"/>
    </row>
    <row r="172" spans="5:27" s="2" customFormat="1" x14ac:dyDescent="0.25">
      <c r="E172" s="4"/>
      <c r="G172" s="3"/>
      <c r="I172" s="4"/>
      <c r="K172" s="3"/>
      <c r="M172" s="4"/>
      <c r="O172" s="3"/>
      <c r="Q172" s="4"/>
      <c r="S172" s="3"/>
      <c r="U172" s="4"/>
      <c r="W172" s="3"/>
      <c r="Y172" s="4"/>
      <c r="AA172" s="3"/>
    </row>
    <row r="173" spans="5:27" s="2" customFormat="1" x14ac:dyDescent="0.25">
      <c r="E173" s="4"/>
      <c r="G173" s="3"/>
      <c r="I173" s="4"/>
      <c r="K173" s="3"/>
      <c r="M173" s="4"/>
      <c r="O173" s="3"/>
      <c r="Q173" s="4"/>
      <c r="S173" s="3"/>
      <c r="U173" s="4"/>
      <c r="W173" s="3"/>
      <c r="Y173" s="4"/>
      <c r="AA173" s="3"/>
    </row>
    <row r="174" spans="5:27" s="2" customFormat="1" x14ac:dyDescent="0.25">
      <c r="E174" s="4"/>
      <c r="G174" s="3"/>
      <c r="I174" s="4"/>
      <c r="K174" s="3"/>
      <c r="M174" s="4"/>
      <c r="O174" s="3"/>
      <c r="Q174" s="4"/>
      <c r="S174" s="3"/>
      <c r="U174" s="4"/>
      <c r="W174" s="3"/>
      <c r="Y174" s="4"/>
      <c r="AA174" s="3"/>
    </row>
    <row r="175" spans="5:27" s="2" customFormat="1" x14ac:dyDescent="0.25">
      <c r="E175" s="4"/>
      <c r="G175" s="3"/>
      <c r="I175" s="4"/>
      <c r="K175" s="3"/>
      <c r="M175" s="4"/>
      <c r="O175" s="3"/>
      <c r="Q175" s="4"/>
      <c r="S175" s="3"/>
      <c r="U175" s="4"/>
      <c r="W175" s="3"/>
      <c r="Y175" s="4"/>
      <c r="AA175" s="3"/>
    </row>
    <row r="176" spans="5:27" s="2" customFormat="1" x14ac:dyDescent="0.25">
      <c r="E176" s="4"/>
      <c r="G176" s="3"/>
      <c r="I176" s="4"/>
      <c r="K176" s="3"/>
      <c r="M176" s="4"/>
      <c r="O176" s="3"/>
      <c r="Q176" s="4"/>
      <c r="S176" s="3"/>
      <c r="U176" s="4"/>
      <c r="W176" s="3"/>
      <c r="Y176" s="4"/>
      <c r="AA176" s="3"/>
    </row>
    <row r="177" spans="5:27" s="2" customFormat="1" x14ac:dyDescent="0.25">
      <c r="E177" s="4"/>
      <c r="G177" s="3"/>
      <c r="I177" s="4"/>
      <c r="K177" s="3"/>
      <c r="M177" s="4"/>
      <c r="O177" s="3"/>
      <c r="Q177" s="4"/>
      <c r="S177" s="3"/>
      <c r="U177" s="4"/>
      <c r="W177" s="3"/>
      <c r="Y177" s="4"/>
      <c r="AA177" s="3"/>
    </row>
    <row r="178" spans="5:27" s="2" customFormat="1" x14ac:dyDescent="0.25">
      <c r="E178" s="4"/>
      <c r="G178" s="3"/>
      <c r="I178" s="4"/>
      <c r="K178" s="3"/>
      <c r="M178" s="4"/>
      <c r="O178" s="3"/>
      <c r="Q178" s="4"/>
      <c r="S178" s="3"/>
      <c r="U178" s="4"/>
      <c r="W178" s="3"/>
      <c r="Y178" s="4"/>
      <c r="AA178" s="3"/>
    </row>
    <row r="179" spans="5:27" s="2" customFormat="1" x14ac:dyDescent="0.25">
      <c r="E179" s="4"/>
      <c r="G179" s="3"/>
      <c r="I179" s="4"/>
      <c r="K179" s="3"/>
      <c r="M179" s="4"/>
      <c r="O179" s="3"/>
      <c r="Q179" s="4"/>
      <c r="S179" s="3"/>
      <c r="U179" s="4"/>
      <c r="W179" s="3"/>
      <c r="Y179" s="4"/>
      <c r="AA179" s="3"/>
    </row>
    <row r="180" spans="5:27" s="2" customFormat="1" x14ac:dyDescent="0.25">
      <c r="E180" s="4"/>
      <c r="G180" s="3"/>
      <c r="I180" s="4"/>
      <c r="K180" s="3"/>
      <c r="M180" s="4"/>
      <c r="O180" s="3"/>
      <c r="Q180" s="4"/>
      <c r="S180" s="3"/>
      <c r="U180" s="4"/>
      <c r="W180" s="3"/>
      <c r="Y180" s="4"/>
      <c r="AA180" s="3"/>
    </row>
    <row r="181" spans="5:27" s="2" customFormat="1" x14ac:dyDescent="0.25">
      <c r="E181" s="4"/>
      <c r="G181" s="3"/>
      <c r="I181" s="4"/>
      <c r="K181" s="3"/>
      <c r="M181" s="4"/>
      <c r="O181" s="3"/>
      <c r="Q181" s="4"/>
      <c r="S181" s="3"/>
      <c r="U181" s="4"/>
      <c r="W181" s="3"/>
      <c r="Y181" s="4"/>
      <c r="AA181" s="3"/>
    </row>
    <row r="182" spans="5:27" s="2" customFormat="1" x14ac:dyDescent="0.25">
      <c r="E182" s="4"/>
      <c r="G182" s="3"/>
      <c r="I182" s="4"/>
      <c r="K182" s="3"/>
      <c r="M182" s="4"/>
      <c r="O182" s="3"/>
      <c r="Q182" s="4"/>
      <c r="S182" s="3"/>
      <c r="U182" s="4"/>
      <c r="W182" s="3"/>
      <c r="Y182" s="4"/>
      <c r="AA182" s="3"/>
    </row>
    <row r="183" spans="5:27" s="2" customFormat="1" x14ac:dyDescent="0.25">
      <c r="E183" s="4"/>
      <c r="G183" s="3"/>
      <c r="I183" s="4"/>
      <c r="K183" s="3"/>
      <c r="M183" s="4"/>
      <c r="O183" s="3"/>
      <c r="Q183" s="4"/>
      <c r="S183" s="3"/>
      <c r="U183" s="4"/>
      <c r="W183" s="3"/>
      <c r="Y183" s="4"/>
      <c r="AA183" s="3"/>
    </row>
    <row r="184" spans="5:27" s="2" customFormat="1" x14ac:dyDescent="0.25">
      <c r="E184" s="4"/>
      <c r="G184" s="3"/>
      <c r="I184" s="4"/>
      <c r="K184" s="3"/>
      <c r="M184" s="4"/>
      <c r="O184" s="3"/>
      <c r="Q184" s="4"/>
      <c r="S184" s="3"/>
      <c r="U184" s="4"/>
      <c r="W184" s="3"/>
      <c r="Y184" s="4"/>
      <c r="AA184" s="3"/>
    </row>
    <row r="185" spans="5:27" s="2" customFormat="1" x14ac:dyDescent="0.25">
      <c r="E185" s="4"/>
      <c r="G185" s="3"/>
      <c r="I185" s="4"/>
      <c r="K185" s="3"/>
      <c r="M185" s="4"/>
      <c r="O185" s="3"/>
      <c r="Q185" s="4"/>
      <c r="S185" s="3"/>
      <c r="U185" s="4"/>
      <c r="W185" s="3"/>
      <c r="Y185" s="4"/>
      <c r="AA185" s="3"/>
    </row>
    <row r="186" spans="5:27" s="2" customFormat="1" x14ac:dyDescent="0.25">
      <c r="E186" s="4"/>
      <c r="G186" s="3"/>
      <c r="I186" s="4"/>
      <c r="K186" s="3"/>
      <c r="M186" s="4"/>
      <c r="O186" s="3"/>
      <c r="Q186" s="4"/>
      <c r="S186" s="3"/>
      <c r="U186" s="4"/>
      <c r="W186" s="3"/>
      <c r="Y186" s="4"/>
      <c r="AA186" s="3"/>
    </row>
    <row r="187" spans="5:27" s="2" customFormat="1" x14ac:dyDescent="0.25">
      <c r="E187" s="4"/>
      <c r="G187" s="3"/>
      <c r="I187" s="4"/>
      <c r="K187" s="3"/>
      <c r="M187" s="4"/>
      <c r="O187" s="3"/>
      <c r="Q187" s="4"/>
      <c r="S187" s="3"/>
      <c r="U187" s="4"/>
      <c r="W187" s="3"/>
      <c r="Y187" s="4"/>
      <c r="AA187" s="3"/>
    </row>
    <row r="188" spans="5:27" s="2" customFormat="1" x14ac:dyDescent="0.25">
      <c r="E188" s="4"/>
      <c r="G188" s="3"/>
      <c r="I188" s="4"/>
      <c r="K188" s="3"/>
      <c r="M188" s="4"/>
      <c r="O188" s="3"/>
      <c r="Q188" s="4"/>
      <c r="S188" s="3"/>
      <c r="U188" s="4"/>
      <c r="W188" s="3"/>
      <c r="Y188" s="4"/>
      <c r="AA188" s="3"/>
    </row>
    <row r="189" spans="5:27" s="2" customFormat="1" x14ac:dyDescent="0.25">
      <c r="E189" s="4"/>
      <c r="G189" s="3"/>
      <c r="I189" s="4"/>
      <c r="K189" s="3"/>
      <c r="M189" s="4"/>
      <c r="O189" s="3"/>
      <c r="Q189" s="4"/>
      <c r="S189" s="3"/>
      <c r="U189" s="4"/>
      <c r="W189" s="3"/>
      <c r="Y189" s="4"/>
      <c r="AA189" s="3"/>
    </row>
    <row r="190" spans="5:27" s="2" customFormat="1" x14ac:dyDescent="0.25">
      <c r="E190" s="4"/>
      <c r="G190" s="3"/>
      <c r="I190" s="4"/>
      <c r="K190" s="3"/>
      <c r="M190" s="4"/>
      <c r="O190" s="3"/>
      <c r="Q190" s="4"/>
      <c r="S190" s="3"/>
      <c r="U190" s="4"/>
      <c r="W190" s="3"/>
      <c r="Y190" s="4"/>
      <c r="AA190" s="3"/>
    </row>
    <row r="191" spans="5:27" s="2" customFormat="1" x14ac:dyDescent="0.25">
      <c r="E191" s="4"/>
      <c r="G191" s="3"/>
      <c r="I191" s="4"/>
      <c r="K191" s="3"/>
      <c r="M191" s="4"/>
      <c r="O191" s="3"/>
      <c r="Q191" s="4"/>
      <c r="S191" s="3"/>
      <c r="U191" s="4"/>
      <c r="W191" s="3"/>
      <c r="Y191" s="4"/>
      <c r="AA191" s="3"/>
    </row>
    <row r="192" spans="5:27" s="2" customFormat="1" x14ac:dyDescent="0.25">
      <c r="E192" s="4"/>
      <c r="G192" s="3"/>
      <c r="I192" s="4"/>
      <c r="K192" s="3"/>
      <c r="M192" s="4"/>
      <c r="O192" s="3"/>
      <c r="Q192" s="4"/>
      <c r="S192" s="3"/>
      <c r="U192" s="4"/>
      <c r="W192" s="3"/>
      <c r="Y192" s="4"/>
      <c r="AA192" s="3"/>
    </row>
    <row r="193" spans="5:27" s="2" customFormat="1" x14ac:dyDescent="0.25">
      <c r="E193" s="4"/>
      <c r="G193" s="3"/>
      <c r="I193" s="4"/>
      <c r="K193" s="3"/>
      <c r="M193" s="4"/>
      <c r="O193" s="3"/>
      <c r="Q193" s="4"/>
      <c r="S193" s="3"/>
      <c r="U193" s="4"/>
      <c r="W193" s="3"/>
      <c r="Y193" s="4"/>
      <c r="AA193" s="3"/>
    </row>
    <row r="194" spans="5:27" s="2" customFormat="1" x14ac:dyDescent="0.25">
      <c r="E194" s="4"/>
      <c r="G194" s="3"/>
      <c r="I194" s="4"/>
      <c r="K194" s="3"/>
      <c r="M194" s="4"/>
      <c r="O194" s="3"/>
      <c r="Q194" s="4"/>
      <c r="S194" s="3"/>
      <c r="U194" s="4"/>
      <c r="W194" s="3"/>
      <c r="Y194" s="4"/>
      <c r="AA194" s="3"/>
    </row>
    <row r="195" spans="5:27" s="2" customFormat="1" x14ac:dyDescent="0.25">
      <c r="E195" s="4"/>
      <c r="G195" s="3"/>
      <c r="I195" s="4"/>
      <c r="K195" s="3"/>
      <c r="M195" s="4"/>
      <c r="O195" s="3"/>
      <c r="Q195" s="4"/>
      <c r="S195" s="3"/>
      <c r="U195" s="4"/>
      <c r="W195" s="3"/>
      <c r="Y195" s="4"/>
      <c r="AA195" s="3"/>
    </row>
    <row r="196" spans="5:27" s="2" customFormat="1" x14ac:dyDescent="0.25">
      <c r="E196" s="4"/>
      <c r="G196" s="3"/>
      <c r="I196" s="4"/>
      <c r="K196" s="3"/>
      <c r="M196" s="4"/>
      <c r="O196" s="3"/>
      <c r="Q196" s="4"/>
      <c r="S196" s="3"/>
      <c r="U196" s="4"/>
      <c r="W196" s="3"/>
      <c r="Y196" s="4"/>
      <c r="AA196" s="3"/>
    </row>
    <row r="197" spans="5:27" s="2" customFormat="1" x14ac:dyDescent="0.25">
      <c r="E197" s="4"/>
      <c r="G197" s="3"/>
      <c r="I197" s="4"/>
      <c r="K197" s="3"/>
      <c r="M197" s="4"/>
      <c r="O197" s="3"/>
      <c r="Q197" s="4"/>
      <c r="S197" s="3"/>
      <c r="U197" s="4"/>
      <c r="W197" s="3"/>
      <c r="Y197" s="4"/>
      <c r="AA197" s="3"/>
    </row>
    <row r="198" spans="5:27" s="2" customFormat="1" x14ac:dyDescent="0.25">
      <c r="E198" s="4"/>
      <c r="G198" s="3"/>
      <c r="I198" s="4"/>
      <c r="K198" s="3"/>
      <c r="M198" s="4"/>
      <c r="O198" s="3"/>
      <c r="Q198" s="4"/>
      <c r="S198" s="3"/>
      <c r="U198" s="4"/>
      <c r="W198" s="3"/>
      <c r="Y198" s="4"/>
      <c r="AA198" s="3"/>
    </row>
    <row r="199" spans="5:27" s="2" customFormat="1" x14ac:dyDescent="0.25">
      <c r="E199" s="4"/>
      <c r="G199" s="3"/>
      <c r="I199" s="4"/>
      <c r="K199" s="3"/>
      <c r="M199" s="4"/>
      <c r="O199" s="3"/>
      <c r="Q199" s="4"/>
      <c r="S199" s="3"/>
      <c r="U199" s="4"/>
      <c r="W199" s="3"/>
      <c r="Y199" s="4"/>
      <c r="AA199" s="3"/>
    </row>
    <row r="200" spans="5:27" s="2" customFormat="1" x14ac:dyDescent="0.25">
      <c r="E200" s="4"/>
      <c r="G200" s="3"/>
      <c r="I200" s="4"/>
      <c r="K200" s="3"/>
      <c r="M200" s="4"/>
      <c r="O200" s="3"/>
      <c r="Q200" s="4"/>
      <c r="S200" s="3"/>
      <c r="U200" s="4"/>
      <c r="W200" s="3"/>
      <c r="Y200" s="4"/>
      <c r="AA200" s="3"/>
    </row>
    <row r="201" spans="5:27" s="2" customFormat="1" x14ac:dyDescent="0.25">
      <c r="E201" s="4"/>
      <c r="G201" s="3"/>
      <c r="I201" s="4"/>
      <c r="K201" s="3"/>
      <c r="M201" s="4"/>
      <c r="O201" s="3"/>
      <c r="Q201" s="4"/>
      <c r="S201" s="3"/>
      <c r="U201" s="4"/>
      <c r="W201" s="3"/>
      <c r="Y201" s="4"/>
      <c r="AA201" s="3"/>
    </row>
    <row r="202" spans="5:27" s="2" customFormat="1" x14ac:dyDescent="0.25">
      <c r="E202" s="4"/>
      <c r="G202" s="3"/>
      <c r="I202" s="4"/>
      <c r="K202" s="3"/>
      <c r="M202" s="4"/>
      <c r="O202" s="3"/>
      <c r="Q202" s="4"/>
      <c r="S202" s="3"/>
      <c r="U202" s="4"/>
      <c r="W202" s="3"/>
      <c r="Y202" s="4"/>
      <c r="AA202" s="3"/>
    </row>
    <row r="203" spans="5:27" s="2" customFormat="1" x14ac:dyDescent="0.25">
      <c r="E203" s="4"/>
      <c r="G203" s="3"/>
      <c r="I203" s="4"/>
      <c r="K203" s="3"/>
      <c r="M203" s="4"/>
      <c r="O203" s="3"/>
      <c r="Q203" s="4"/>
      <c r="S203" s="3"/>
      <c r="U203" s="4"/>
      <c r="W203" s="3"/>
      <c r="Y203" s="4"/>
      <c r="AA203" s="3"/>
    </row>
    <row r="204" spans="5:27" s="2" customFormat="1" x14ac:dyDescent="0.25">
      <c r="E204" s="4"/>
      <c r="G204" s="3"/>
      <c r="I204" s="4"/>
      <c r="K204" s="3"/>
      <c r="M204" s="4"/>
      <c r="O204" s="3"/>
      <c r="Q204" s="4"/>
      <c r="S204" s="3"/>
      <c r="U204" s="4"/>
      <c r="W204" s="3"/>
      <c r="Y204" s="4"/>
      <c r="AA204" s="3"/>
    </row>
    <row r="205" spans="5:27" s="2" customFormat="1" x14ac:dyDescent="0.25">
      <c r="E205" s="4"/>
      <c r="G205" s="3"/>
      <c r="I205" s="4"/>
      <c r="K205" s="3"/>
      <c r="M205" s="4"/>
      <c r="O205" s="3"/>
      <c r="Q205" s="4"/>
      <c r="S205" s="3"/>
      <c r="U205" s="4"/>
      <c r="W205" s="3"/>
      <c r="Y205" s="4"/>
      <c r="AA205" s="3"/>
    </row>
    <row r="206" spans="5:27" s="2" customFormat="1" x14ac:dyDescent="0.25">
      <c r="E206" s="4"/>
      <c r="G206" s="3"/>
      <c r="I206" s="4"/>
      <c r="K206" s="3"/>
      <c r="M206" s="4"/>
      <c r="O206" s="3"/>
      <c r="Q206" s="4"/>
      <c r="S206" s="3"/>
      <c r="U206" s="4"/>
      <c r="W206" s="3"/>
      <c r="Y206" s="4"/>
      <c r="AA206" s="3"/>
    </row>
    <row r="207" spans="5:27" s="2" customFormat="1" x14ac:dyDescent="0.25">
      <c r="E207" s="4"/>
      <c r="G207" s="3"/>
      <c r="I207" s="4"/>
      <c r="K207" s="3"/>
      <c r="M207" s="4"/>
      <c r="O207" s="3"/>
      <c r="Q207" s="4"/>
      <c r="S207" s="3"/>
      <c r="U207" s="4"/>
      <c r="W207" s="3"/>
      <c r="Y207" s="4"/>
      <c r="AA207" s="3"/>
    </row>
    <row r="208" spans="5:27" s="2" customFormat="1" x14ac:dyDescent="0.25">
      <c r="E208" s="4"/>
      <c r="G208" s="3"/>
      <c r="I208" s="4"/>
      <c r="K208" s="3"/>
      <c r="M208" s="4"/>
      <c r="O208" s="3"/>
      <c r="Q208" s="4"/>
      <c r="S208" s="3"/>
      <c r="U208" s="4"/>
      <c r="W208" s="3"/>
      <c r="Y208" s="4"/>
      <c r="AA208" s="3"/>
    </row>
    <row r="209" spans="5:27" s="2" customFormat="1" x14ac:dyDescent="0.25">
      <c r="E209" s="4"/>
      <c r="G209" s="3"/>
      <c r="I209" s="4"/>
      <c r="K209" s="3"/>
      <c r="M209" s="4"/>
      <c r="O209" s="3"/>
      <c r="Q209" s="4"/>
      <c r="S209" s="3"/>
      <c r="U209" s="4"/>
      <c r="W209" s="3"/>
      <c r="Y209" s="4"/>
      <c r="AA209" s="3"/>
    </row>
    <row r="210" spans="5:27" s="2" customFormat="1" x14ac:dyDescent="0.25">
      <c r="E210" s="4"/>
      <c r="G210" s="3"/>
      <c r="I210" s="4"/>
      <c r="K210" s="3"/>
      <c r="M210" s="4"/>
      <c r="O210" s="3"/>
      <c r="Q210" s="4"/>
      <c r="S210" s="3"/>
      <c r="U210" s="4"/>
      <c r="W210" s="3"/>
      <c r="Y210" s="4"/>
      <c r="AA210" s="3"/>
    </row>
    <row r="211" spans="5:27" s="2" customFormat="1" x14ac:dyDescent="0.25">
      <c r="E211" s="4"/>
      <c r="G211" s="3"/>
      <c r="I211" s="4"/>
      <c r="K211" s="3"/>
      <c r="M211" s="4"/>
      <c r="O211" s="3"/>
      <c r="Q211" s="4"/>
      <c r="S211" s="3"/>
      <c r="U211" s="4"/>
      <c r="W211" s="3"/>
      <c r="Y211" s="4"/>
      <c r="AA211" s="3"/>
    </row>
    <row r="212" spans="5:27" s="2" customFormat="1" x14ac:dyDescent="0.25">
      <c r="E212" s="4"/>
      <c r="G212" s="3"/>
      <c r="I212" s="4"/>
      <c r="K212" s="3"/>
      <c r="M212" s="4"/>
      <c r="O212" s="3"/>
      <c r="Q212" s="4"/>
      <c r="S212" s="3"/>
      <c r="U212" s="4"/>
      <c r="W212" s="3"/>
      <c r="Y212" s="4"/>
      <c r="AA212" s="3"/>
    </row>
    <row r="213" spans="5:27" s="2" customFormat="1" x14ac:dyDescent="0.25">
      <c r="E213" s="4"/>
      <c r="G213" s="3"/>
      <c r="I213" s="4"/>
      <c r="K213" s="3"/>
      <c r="M213" s="4"/>
      <c r="O213" s="3"/>
      <c r="Q213" s="4"/>
      <c r="S213" s="3"/>
      <c r="U213" s="4"/>
      <c r="W213" s="3"/>
      <c r="Y213" s="4"/>
      <c r="AA213" s="3"/>
    </row>
    <row r="214" spans="5:27" s="2" customFormat="1" x14ac:dyDescent="0.25">
      <c r="E214" s="4"/>
      <c r="G214" s="3"/>
      <c r="I214" s="4"/>
      <c r="K214" s="3"/>
      <c r="M214" s="4"/>
      <c r="O214" s="3"/>
      <c r="Q214" s="4"/>
      <c r="S214" s="3"/>
      <c r="U214" s="4"/>
      <c r="W214" s="3"/>
      <c r="Y214" s="4"/>
      <c r="AA214" s="3"/>
    </row>
    <row r="215" spans="5:27" s="2" customFormat="1" x14ac:dyDescent="0.25">
      <c r="E215" s="4"/>
      <c r="G215" s="3"/>
      <c r="I215" s="4"/>
      <c r="K215" s="3"/>
      <c r="M215" s="4"/>
      <c r="O215" s="3"/>
      <c r="Q215" s="4"/>
      <c r="S215" s="3"/>
      <c r="U215" s="4"/>
      <c r="W215" s="3"/>
      <c r="Y215" s="4"/>
      <c r="AA215" s="3"/>
    </row>
    <row r="216" spans="5:27" s="2" customFormat="1" x14ac:dyDescent="0.25">
      <c r="E216" s="4"/>
      <c r="G216" s="3"/>
      <c r="I216" s="4"/>
      <c r="K216" s="3"/>
      <c r="M216" s="4"/>
      <c r="O216" s="3"/>
      <c r="Q216" s="4"/>
      <c r="S216" s="3"/>
      <c r="U216" s="4"/>
      <c r="W216" s="3"/>
      <c r="Y216" s="4"/>
      <c r="AA216" s="3"/>
    </row>
    <row r="217" spans="5:27" s="2" customFormat="1" x14ac:dyDescent="0.25">
      <c r="E217" s="4"/>
      <c r="G217" s="3"/>
      <c r="I217" s="4"/>
      <c r="K217" s="3"/>
      <c r="M217" s="4"/>
      <c r="O217" s="3"/>
      <c r="Q217" s="4"/>
      <c r="S217" s="3"/>
      <c r="U217" s="4"/>
      <c r="W217" s="3"/>
      <c r="Y217" s="4"/>
      <c r="AA217" s="3"/>
    </row>
    <row r="218" spans="5:27" s="2" customFormat="1" x14ac:dyDescent="0.25">
      <c r="E218" s="4"/>
      <c r="G218" s="3"/>
      <c r="I218" s="4"/>
      <c r="K218" s="3"/>
      <c r="M218" s="4"/>
      <c r="O218" s="3"/>
      <c r="Q218" s="4"/>
      <c r="S218" s="3"/>
      <c r="U218" s="4"/>
      <c r="W218" s="3"/>
      <c r="Y218" s="4"/>
      <c r="AA218" s="3"/>
    </row>
    <row r="219" spans="5:27" s="2" customFormat="1" x14ac:dyDescent="0.25">
      <c r="E219" s="4"/>
      <c r="G219" s="3"/>
      <c r="I219" s="4"/>
      <c r="K219" s="3"/>
      <c r="M219" s="4"/>
      <c r="O219" s="3"/>
      <c r="Q219" s="4"/>
      <c r="S219" s="3"/>
      <c r="U219" s="4"/>
      <c r="W219" s="3"/>
      <c r="Y219" s="4"/>
      <c r="AA219" s="3"/>
    </row>
    <row r="220" spans="5:27" s="2" customFormat="1" x14ac:dyDescent="0.25">
      <c r="E220" s="4"/>
      <c r="G220" s="3"/>
      <c r="I220" s="4"/>
      <c r="K220" s="3"/>
      <c r="M220" s="4"/>
      <c r="O220" s="3"/>
      <c r="Q220" s="4"/>
      <c r="S220" s="3"/>
      <c r="U220" s="4"/>
      <c r="W220" s="3"/>
      <c r="Y220" s="4"/>
      <c r="AA220" s="3"/>
    </row>
    <row r="221" spans="5:27" s="2" customFormat="1" x14ac:dyDescent="0.25">
      <c r="E221" s="4"/>
      <c r="G221" s="3"/>
      <c r="I221" s="4"/>
      <c r="K221" s="3"/>
      <c r="M221" s="4"/>
      <c r="O221" s="3"/>
      <c r="Q221" s="4"/>
      <c r="S221" s="3"/>
      <c r="U221" s="4"/>
      <c r="W221" s="3"/>
      <c r="Y221" s="4"/>
      <c r="AA221" s="3"/>
    </row>
    <row r="222" spans="5:27" s="2" customFormat="1" x14ac:dyDescent="0.25">
      <c r="E222" s="4"/>
      <c r="G222" s="3"/>
      <c r="I222" s="4"/>
      <c r="K222" s="3"/>
      <c r="M222" s="4"/>
      <c r="O222" s="3"/>
      <c r="Q222" s="4"/>
      <c r="S222" s="3"/>
      <c r="U222" s="4"/>
      <c r="W222" s="3"/>
      <c r="Y222" s="4"/>
      <c r="AA222" s="3"/>
    </row>
    <row r="223" spans="5:27" s="2" customFormat="1" x14ac:dyDescent="0.25">
      <c r="E223" s="4"/>
      <c r="G223" s="3"/>
      <c r="I223" s="4"/>
      <c r="K223" s="3"/>
      <c r="M223" s="4"/>
      <c r="O223" s="3"/>
      <c r="Q223" s="4"/>
      <c r="S223" s="3"/>
      <c r="U223" s="4"/>
      <c r="W223" s="3"/>
      <c r="Y223" s="4"/>
      <c r="AA223" s="3"/>
    </row>
    <row r="224" spans="5:27" s="2" customFormat="1" x14ac:dyDescent="0.25">
      <c r="E224" s="4"/>
      <c r="G224" s="3"/>
      <c r="I224" s="4"/>
      <c r="K224" s="3"/>
      <c r="M224" s="4"/>
      <c r="O224" s="3"/>
      <c r="Q224" s="4"/>
      <c r="S224" s="3"/>
      <c r="U224" s="4"/>
      <c r="W224" s="3"/>
      <c r="Y224" s="4"/>
      <c r="AA224" s="3"/>
    </row>
    <row r="225" spans="5:27" s="2" customFormat="1" x14ac:dyDescent="0.25">
      <c r="E225" s="4"/>
      <c r="G225" s="3"/>
      <c r="I225" s="4"/>
      <c r="K225" s="3"/>
      <c r="M225" s="4"/>
      <c r="O225" s="3"/>
      <c r="Q225" s="4"/>
      <c r="S225" s="3"/>
      <c r="U225" s="4"/>
      <c r="W225" s="3"/>
      <c r="Y225" s="4"/>
      <c r="AA225" s="3"/>
    </row>
    <row r="226" spans="5:27" s="2" customFormat="1" x14ac:dyDescent="0.25">
      <c r="E226" s="4"/>
      <c r="G226" s="3"/>
      <c r="I226" s="4"/>
      <c r="K226" s="3"/>
      <c r="M226" s="4"/>
      <c r="O226" s="3"/>
      <c r="Q226" s="4"/>
      <c r="S226" s="3"/>
      <c r="U226" s="4"/>
      <c r="W226" s="3"/>
      <c r="Y226" s="4"/>
      <c r="AA226" s="3"/>
    </row>
    <row r="227" spans="5:27" s="2" customFormat="1" x14ac:dyDescent="0.25">
      <c r="E227" s="4"/>
      <c r="G227" s="3"/>
      <c r="I227" s="4"/>
      <c r="K227" s="3"/>
      <c r="M227" s="4"/>
      <c r="O227" s="3"/>
      <c r="Q227" s="4"/>
      <c r="S227" s="3"/>
      <c r="U227" s="4"/>
      <c r="W227" s="3"/>
      <c r="Y227" s="4"/>
      <c r="AA227" s="3"/>
    </row>
    <row r="228" spans="5:27" s="2" customFormat="1" x14ac:dyDescent="0.25">
      <c r="E228" s="4"/>
      <c r="G228" s="3"/>
      <c r="I228" s="4"/>
      <c r="K228" s="3"/>
      <c r="M228" s="4"/>
      <c r="O228" s="3"/>
      <c r="Q228" s="4"/>
      <c r="S228" s="3"/>
      <c r="U228" s="4"/>
      <c r="W228" s="3"/>
      <c r="Y228" s="4"/>
      <c r="AA228" s="3"/>
    </row>
    <row r="229" spans="5:27" s="2" customFormat="1" x14ac:dyDescent="0.25">
      <c r="E229" s="4"/>
      <c r="G229" s="3"/>
      <c r="I229" s="4"/>
      <c r="K229" s="3"/>
      <c r="M229" s="4"/>
      <c r="O229" s="3"/>
      <c r="Q229" s="4"/>
      <c r="S229" s="3"/>
      <c r="U229" s="4"/>
      <c r="W229" s="3"/>
      <c r="Y229" s="4"/>
      <c r="AA229" s="3"/>
    </row>
    <row r="230" spans="5:27" s="2" customFormat="1" x14ac:dyDescent="0.25">
      <c r="E230" s="4"/>
      <c r="G230" s="3"/>
      <c r="I230" s="4"/>
      <c r="K230" s="3"/>
      <c r="M230" s="4"/>
      <c r="O230" s="3"/>
      <c r="Q230" s="4"/>
      <c r="S230" s="3"/>
      <c r="U230" s="4"/>
      <c r="W230" s="3"/>
      <c r="Y230" s="4"/>
      <c r="AA230" s="3"/>
    </row>
    <row r="231" spans="5:27" s="2" customFormat="1" x14ac:dyDescent="0.25">
      <c r="E231" s="4"/>
      <c r="G231" s="3"/>
      <c r="I231" s="4"/>
      <c r="K231" s="3"/>
      <c r="M231" s="4"/>
      <c r="O231" s="3"/>
      <c r="Q231" s="4"/>
      <c r="S231" s="3"/>
      <c r="U231" s="4"/>
      <c r="W231" s="3"/>
      <c r="Y231" s="4"/>
      <c r="AA231" s="3"/>
    </row>
    <row r="232" spans="5:27" s="2" customFormat="1" x14ac:dyDescent="0.25">
      <c r="E232" s="4"/>
      <c r="G232" s="3"/>
      <c r="I232" s="4"/>
      <c r="K232" s="3"/>
      <c r="M232" s="4"/>
      <c r="O232" s="3"/>
      <c r="Q232" s="4"/>
      <c r="S232" s="3"/>
      <c r="U232" s="4"/>
      <c r="W232" s="3"/>
      <c r="Y232" s="4"/>
      <c r="AA232" s="3"/>
    </row>
    <row r="233" spans="5:27" s="2" customFormat="1" x14ac:dyDescent="0.25">
      <c r="E233" s="4"/>
      <c r="G233" s="3"/>
      <c r="I233" s="4"/>
      <c r="K233" s="3"/>
      <c r="M233" s="4"/>
      <c r="O233" s="3"/>
      <c r="Q233" s="4"/>
      <c r="S233" s="3"/>
      <c r="U233" s="4"/>
      <c r="W233" s="3"/>
      <c r="Y233" s="4"/>
      <c r="AA233" s="3"/>
    </row>
    <row r="234" spans="5:27" s="2" customFormat="1" x14ac:dyDescent="0.25">
      <c r="E234" s="4"/>
      <c r="G234" s="3"/>
      <c r="I234" s="4"/>
      <c r="K234" s="3"/>
      <c r="M234" s="4"/>
      <c r="O234" s="3"/>
      <c r="Q234" s="4"/>
      <c r="S234" s="3"/>
      <c r="U234" s="4"/>
      <c r="W234" s="3"/>
      <c r="Y234" s="4"/>
      <c r="AA234" s="3"/>
    </row>
    <row r="235" spans="5:27" s="2" customFormat="1" x14ac:dyDescent="0.25">
      <c r="E235" s="4"/>
      <c r="G235" s="3"/>
      <c r="I235" s="4"/>
      <c r="K235" s="3"/>
      <c r="M235" s="4"/>
      <c r="O235" s="3"/>
      <c r="Q235" s="4"/>
      <c r="S235" s="3"/>
      <c r="U235" s="4"/>
      <c r="W235" s="3"/>
      <c r="Y235" s="4"/>
      <c r="AA235" s="3"/>
    </row>
    <row r="236" spans="5:27" s="2" customFormat="1" x14ac:dyDescent="0.25">
      <c r="E236" s="4"/>
      <c r="G236" s="3"/>
      <c r="I236" s="4"/>
      <c r="K236" s="3"/>
      <c r="M236" s="4"/>
      <c r="O236" s="3"/>
      <c r="Q236" s="4"/>
      <c r="S236" s="3"/>
      <c r="U236" s="4"/>
      <c r="W236" s="3"/>
      <c r="Y236" s="4"/>
      <c r="AA236" s="3"/>
    </row>
    <row r="237" spans="5:27" s="2" customFormat="1" x14ac:dyDescent="0.25">
      <c r="E237" s="4"/>
      <c r="G237" s="3"/>
      <c r="I237" s="4"/>
      <c r="K237" s="3"/>
      <c r="M237" s="4"/>
      <c r="O237" s="3"/>
      <c r="Q237" s="4"/>
      <c r="S237" s="3"/>
      <c r="U237" s="4"/>
      <c r="W237" s="3"/>
      <c r="Y237" s="4"/>
      <c r="AA237" s="3"/>
    </row>
    <row r="238" spans="5:27" s="2" customFormat="1" x14ac:dyDescent="0.25">
      <c r="E238" s="4"/>
      <c r="G238" s="3"/>
      <c r="I238" s="4"/>
      <c r="K238" s="3"/>
      <c r="M238" s="4"/>
      <c r="O238" s="3"/>
      <c r="Q238" s="4"/>
      <c r="S238" s="3"/>
      <c r="U238" s="4"/>
      <c r="W238" s="3"/>
      <c r="Y238" s="4"/>
      <c r="AA238" s="3"/>
    </row>
    <row r="239" spans="5:27" s="2" customFormat="1" x14ac:dyDescent="0.25">
      <c r="E239" s="4"/>
      <c r="G239" s="3"/>
      <c r="I239" s="4"/>
      <c r="K239" s="3"/>
      <c r="M239" s="4"/>
      <c r="O239" s="3"/>
      <c r="Q239" s="4"/>
      <c r="S239" s="3"/>
      <c r="U239" s="4"/>
      <c r="W239" s="3"/>
      <c r="Y239" s="4"/>
      <c r="AA239" s="3"/>
    </row>
    <row r="240" spans="5:27" s="2" customFormat="1" x14ac:dyDescent="0.25">
      <c r="E240" s="4"/>
      <c r="G240" s="3"/>
      <c r="I240" s="4"/>
      <c r="K240" s="3"/>
      <c r="M240" s="4"/>
      <c r="O240" s="3"/>
      <c r="Q240" s="4"/>
      <c r="S240" s="3"/>
      <c r="U240" s="4"/>
      <c r="W240" s="3"/>
      <c r="Y240" s="4"/>
      <c r="AA240" s="3"/>
    </row>
    <row r="241" spans="5:27" s="2" customFormat="1" x14ac:dyDescent="0.25">
      <c r="E241" s="4"/>
      <c r="G241" s="3"/>
      <c r="I241" s="4"/>
      <c r="K241" s="3"/>
      <c r="M241" s="4"/>
      <c r="O241" s="3"/>
      <c r="Q241" s="4"/>
      <c r="S241" s="3"/>
      <c r="U241" s="4"/>
      <c r="W241" s="3"/>
      <c r="Y241" s="4"/>
      <c r="AA241" s="3"/>
    </row>
    <row r="242" spans="5:27" s="2" customFormat="1" x14ac:dyDescent="0.25">
      <c r="E242" s="4"/>
      <c r="G242" s="3"/>
      <c r="I242" s="4"/>
      <c r="K242" s="3"/>
      <c r="M242" s="4"/>
      <c r="O242" s="3"/>
      <c r="Q242" s="4"/>
      <c r="S242" s="3"/>
      <c r="U242" s="4"/>
      <c r="W242" s="3"/>
      <c r="Y242" s="4"/>
      <c r="AA242" s="3"/>
    </row>
    <row r="243" spans="5:27" s="2" customFormat="1" x14ac:dyDescent="0.25">
      <c r="E243" s="4"/>
      <c r="G243" s="3"/>
      <c r="I243" s="4"/>
      <c r="K243" s="3"/>
      <c r="M243" s="4"/>
      <c r="O243" s="3"/>
      <c r="Q243" s="4"/>
      <c r="S243" s="3"/>
      <c r="U243" s="4"/>
      <c r="W243" s="3"/>
      <c r="Y243" s="4"/>
      <c r="AA243" s="3"/>
    </row>
    <row r="244" spans="5:27" s="2" customFormat="1" x14ac:dyDescent="0.25">
      <c r="E244" s="4"/>
      <c r="G244" s="3"/>
      <c r="I244" s="4"/>
      <c r="K244" s="3"/>
      <c r="M244" s="4"/>
      <c r="O244" s="3"/>
      <c r="Q244" s="4"/>
      <c r="S244" s="3"/>
      <c r="U244" s="4"/>
      <c r="W244" s="3"/>
      <c r="Y244" s="4"/>
      <c r="AA244" s="3"/>
    </row>
    <row r="245" spans="5:27" s="2" customFormat="1" x14ac:dyDescent="0.25">
      <c r="E245" s="4"/>
      <c r="G245" s="3"/>
      <c r="I245" s="4"/>
      <c r="K245" s="3"/>
      <c r="M245" s="4"/>
      <c r="O245" s="3"/>
      <c r="Q245" s="4"/>
      <c r="S245" s="3"/>
      <c r="U245" s="4"/>
      <c r="W245" s="3"/>
      <c r="Y245" s="4"/>
      <c r="AA245" s="3"/>
    </row>
    <row r="246" spans="5:27" s="2" customFormat="1" x14ac:dyDescent="0.25">
      <c r="E246" s="4"/>
      <c r="G246" s="3"/>
      <c r="I246" s="4"/>
      <c r="K246" s="3"/>
      <c r="M246" s="4"/>
      <c r="O246" s="3"/>
      <c r="Q246" s="4"/>
      <c r="S246" s="3"/>
      <c r="U246" s="4"/>
      <c r="W246" s="3"/>
      <c r="Y246" s="4"/>
      <c r="AA246" s="3"/>
    </row>
    <row r="247" spans="5:27" s="2" customFormat="1" x14ac:dyDescent="0.25">
      <c r="E247" s="4"/>
      <c r="G247" s="3"/>
      <c r="I247" s="4"/>
      <c r="K247" s="3"/>
      <c r="M247" s="4"/>
      <c r="O247" s="3"/>
      <c r="Q247" s="4"/>
      <c r="S247" s="3"/>
      <c r="U247" s="4"/>
      <c r="W247" s="3"/>
      <c r="Y247" s="4"/>
      <c r="AA247" s="3"/>
    </row>
    <row r="248" spans="5:27" s="2" customFormat="1" x14ac:dyDescent="0.25">
      <c r="E248" s="4"/>
      <c r="G248" s="3"/>
      <c r="I248" s="4"/>
      <c r="K248" s="3"/>
      <c r="M248" s="4"/>
      <c r="O248" s="3"/>
      <c r="Q248" s="4"/>
      <c r="S248" s="3"/>
      <c r="U248" s="4"/>
      <c r="W248" s="3"/>
      <c r="Y248" s="4"/>
      <c r="AA248" s="3"/>
    </row>
    <row r="249" spans="5:27" s="2" customFormat="1" x14ac:dyDescent="0.25">
      <c r="E249" s="4"/>
      <c r="G249" s="3"/>
      <c r="I249" s="4"/>
      <c r="K249" s="3"/>
      <c r="M249" s="4"/>
      <c r="O249" s="3"/>
      <c r="Q249" s="4"/>
      <c r="S249" s="3"/>
      <c r="U249" s="4"/>
      <c r="W249" s="3"/>
      <c r="Y249" s="4"/>
      <c r="AA249" s="3"/>
    </row>
    <row r="250" spans="5:27" s="2" customFormat="1" x14ac:dyDescent="0.25">
      <c r="E250" s="4"/>
      <c r="G250" s="3"/>
      <c r="I250" s="4"/>
      <c r="K250" s="3"/>
      <c r="M250" s="4"/>
      <c r="O250" s="3"/>
      <c r="Q250" s="4"/>
      <c r="S250" s="3"/>
      <c r="U250" s="4"/>
      <c r="W250" s="3"/>
      <c r="Y250" s="4"/>
      <c r="AA250" s="3"/>
    </row>
    <row r="251" spans="5:27" s="2" customFormat="1" x14ac:dyDescent="0.25">
      <c r="E251" s="4"/>
      <c r="G251" s="3"/>
      <c r="I251" s="4"/>
      <c r="K251" s="3"/>
      <c r="M251" s="4"/>
      <c r="O251" s="3"/>
      <c r="Q251" s="4"/>
      <c r="S251" s="3"/>
      <c r="U251" s="4"/>
      <c r="W251" s="3"/>
      <c r="Y251" s="4"/>
      <c r="AA251" s="3"/>
    </row>
    <row r="252" spans="5:27" s="2" customFormat="1" x14ac:dyDescent="0.25">
      <c r="E252" s="4"/>
      <c r="G252" s="3"/>
      <c r="I252" s="4"/>
      <c r="K252" s="3"/>
      <c r="M252" s="4"/>
      <c r="O252" s="3"/>
      <c r="Q252" s="4"/>
      <c r="S252" s="3"/>
      <c r="U252" s="4"/>
      <c r="W252" s="3"/>
      <c r="Y252" s="4"/>
      <c r="AA252" s="3"/>
    </row>
    <row r="253" spans="5:27" s="2" customFormat="1" x14ac:dyDescent="0.25">
      <c r="E253" s="4"/>
      <c r="G253" s="3"/>
      <c r="I253" s="4"/>
      <c r="K253" s="3"/>
      <c r="M253" s="4"/>
      <c r="O253" s="3"/>
      <c r="Q253" s="4"/>
      <c r="S253" s="3"/>
      <c r="U253" s="4"/>
      <c r="W253" s="3"/>
      <c r="Y253" s="4"/>
      <c r="AA253" s="3"/>
    </row>
    <row r="254" spans="5:27" s="2" customFormat="1" x14ac:dyDescent="0.25">
      <c r="E254" s="4"/>
      <c r="G254" s="3"/>
      <c r="I254" s="4"/>
      <c r="K254" s="3"/>
      <c r="M254" s="4"/>
      <c r="O254" s="3"/>
      <c r="Q254" s="4"/>
      <c r="S254" s="3"/>
      <c r="U254" s="4"/>
      <c r="W254" s="3"/>
      <c r="Y254" s="4"/>
      <c r="AA254" s="3"/>
    </row>
    <row r="255" spans="5:27" s="2" customFormat="1" x14ac:dyDescent="0.25">
      <c r="E255" s="4"/>
      <c r="G255" s="3"/>
      <c r="I255" s="4"/>
      <c r="K255" s="3"/>
      <c r="M255" s="4"/>
      <c r="O255" s="3"/>
      <c r="Q255" s="4"/>
      <c r="S255" s="3"/>
      <c r="U255" s="4"/>
      <c r="W255" s="3"/>
      <c r="Y255" s="4"/>
      <c r="AA255" s="3"/>
    </row>
    <row r="256" spans="5:27" s="2" customFormat="1" x14ac:dyDescent="0.25">
      <c r="E256" s="4"/>
      <c r="G256" s="3"/>
      <c r="I256" s="4"/>
      <c r="K256" s="3"/>
      <c r="M256" s="4"/>
      <c r="O256" s="3"/>
      <c r="Q256" s="4"/>
      <c r="S256" s="3"/>
      <c r="U256" s="4"/>
      <c r="W256" s="3"/>
      <c r="Y256" s="4"/>
      <c r="AA256" s="3"/>
    </row>
    <row r="257" spans="5:27" s="2" customFormat="1" x14ac:dyDescent="0.25">
      <c r="E257" s="4"/>
      <c r="G257" s="3"/>
      <c r="I257" s="4"/>
      <c r="K257" s="3"/>
      <c r="M257" s="4"/>
      <c r="O257" s="3"/>
      <c r="Q257" s="4"/>
      <c r="S257" s="3"/>
      <c r="U257" s="4"/>
      <c r="W257" s="3"/>
      <c r="Y257" s="4"/>
      <c r="AA257" s="3"/>
    </row>
    <row r="258" spans="5:27" s="2" customFormat="1" x14ac:dyDescent="0.25">
      <c r="E258" s="4"/>
      <c r="G258" s="3"/>
      <c r="I258" s="4"/>
      <c r="K258" s="3"/>
      <c r="M258" s="4"/>
      <c r="O258" s="3"/>
      <c r="Q258" s="4"/>
      <c r="S258" s="3"/>
      <c r="U258" s="4"/>
      <c r="W258" s="3"/>
      <c r="Y258" s="4"/>
      <c r="AA258" s="3"/>
    </row>
    <row r="259" spans="5:27" s="2" customFormat="1" x14ac:dyDescent="0.25">
      <c r="E259" s="4"/>
      <c r="G259" s="3"/>
      <c r="I259" s="4"/>
      <c r="K259" s="3"/>
      <c r="M259" s="4"/>
      <c r="O259" s="3"/>
      <c r="Q259" s="4"/>
      <c r="S259" s="3"/>
      <c r="U259" s="4"/>
      <c r="W259" s="3"/>
      <c r="Y259" s="4"/>
      <c r="AA259" s="3"/>
    </row>
    <row r="260" spans="5:27" s="2" customFormat="1" x14ac:dyDescent="0.25">
      <c r="E260" s="4"/>
      <c r="G260" s="3"/>
      <c r="I260" s="4"/>
      <c r="K260" s="3"/>
      <c r="M260" s="4"/>
      <c r="O260" s="3"/>
      <c r="Q260" s="4"/>
      <c r="S260" s="3"/>
      <c r="U260" s="4"/>
      <c r="W260" s="3"/>
      <c r="Y260" s="4"/>
      <c r="AA260" s="3"/>
    </row>
    <row r="261" spans="5:27" s="2" customFormat="1" x14ac:dyDescent="0.25">
      <c r="E261" s="4"/>
      <c r="G261" s="3"/>
      <c r="I261" s="4"/>
      <c r="K261" s="3"/>
      <c r="M261" s="4"/>
      <c r="O261" s="3"/>
      <c r="Q261" s="4"/>
      <c r="S261" s="3"/>
      <c r="U261" s="4"/>
      <c r="W261" s="3"/>
      <c r="Y261" s="4"/>
      <c r="AA261" s="3"/>
    </row>
    <row r="262" spans="5:27" s="2" customFormat="1" x14ac:dyDescent="0.25">
      <c r="E262" s="4"/>
      <c r="G262" s="3"/>
      <c r="I262" s="4"/>
      <c r="K262" s="3"/>
      <c r="M262" s="4"/>
      <c r="O262" s="3"/>
      <c r="Q262" s="4"/>
      <c r="S262" s="3"/>
      <c r="U262" s="4"/>
      <c r="W262" s="3"/>
      <c r="Y262" s="4"/>
      <c r="AA262" s="3"/>
    </row>
    <row r="263" spans="5:27" s="2" customFormat="1" x14ac:dyDescent="0.25">
      <c r="E263" s="4"/>
      <c r="G263" s="3"/>
      <c r="I263" s="4"/>
      <c r="K263" s="3"/>
      <c r="M263" s="4"/>
      <c r="O263" s="3"/>
      <c r="Q263" s="4"/>
      <c r="S263" s="3"/>
      <c r="U263" s="4"/>
      <c r="W263" s="3"/>
      <c r="Y263" s="4"/>
      <c r="AA263" s="3"/>
    </row>
    <row r="264" spans="5:27" s="2" customFormat="1" x14ac:dyDescent="0.25">
      <c r="E264" s="4"/>
      <c r="G264" s="3"/>
      <c r="I264" s="4"/>
      <c r="K264" s="3"/>
      <c r="M264" s="4"/>
      <c r="O264" s="3"/>
      <c r="Q264" s="4"/>
      <c r="S264" s="3"/>
      <c r="U264" s="4"/>
      <c r="W264" s="3"/>
      <c r="Y264" s="4"/>
      <c r="AA264" s="3"/>
    </row>
    <row r="265" spans="5:27" s="2" customFormat="1" x14ac:dyDescent="0.25">
      <c r="E265" s="4"/>
      <c r="G265" s="3"/>
      <c r="I265" s="4"/>
      <c r="K265" s="3"/>
      <c r="M265" s="4"/>
      <c r="O265" s="3"/>
      <c r="Q265" s="4"/>
      <c r="S265" s="3"/>
      <c r="U265" s="4"/>
      <c r="W265" s="3"/>
      <c r="Y265" s="4"/>
      <c r="AA265" s="3"/>
    </row>
    <row r="266" spans="5:27" s="2" customFormat="1" x14ac:dyDescent="0.25">
      <c r="E266" s="4"/>
      <c r="G266" s="3"/>
      <c r="I266" s="4"/>
      <c r="K266" s="3"/>
      <c r="M266" s="4"/>
      <c r="O266" s="3"/>
      <c r="Q266" s="4"/>
      <c r="S266" s="3"/>
      <c r="U266" s="4"/>
      <c r="W266" s="3"/>
      <c r="Y266" s="4"/>
      <c r="AA266" s="3"/>
    </row>
    <row r="267" spans="5:27" s="2" customFormat="1" x14ac:dyDescent="0.25">
      <c r="E267" s="4"/>
      <c r="G267" s="3"/>
      <c r="I267" s="4"/>
      <c r="K267" s="3"/>
      <c r="M267" s="4"/>
      <c r="O267" s="3"/>
      <c r="Q267" s="4"/>
      <c r="S267" s="3"/>
      <c r="U267" s="4"/>
      <c r="W267" s="3"/>
      <c r="Y267" s="4"/>
      <c r="AA267" s="3"/>
    </row>
    <row r="268" spans="5:27" s="2" customFormat="1" x14ac:dyDescent="0.25">
      <c r="E268" s="4"/>
      <c r="G268" s="3"/>
      <c r="I268" s="4"/>
      <c r="K268" s="3"/>
      <c r="M268" s="4"/>
      <c r="O268" s="3"/>
      <c r="Q268" s="4"/>
      <c r="S268" s="3"/>
      <c r="U268" s="4"/>
      <c r="W268" s="3"/>
      <c r="Y268" s="4"/>
      <c r="AA268" s="3"/>
    </row>
    <row r="269" spans="5:27" s="2" customFormat="1" x14ac:dyDescent="0.25">
      <c r="E269" s="4"/>
      <c r="G269" s="3"/>
      <c r="I269" s="4"/>
      <c r="K269" s="3"/>
      <c r="M269" s="4"/>
      <c r="O269" s="3"/>
      <c r="Q269" s="4"/>
      <c r="S269" s="3"/>
      <c r="U269" s="4"/>
      <c r="W269" s="3"/>
      <c r="Y269" s="4"/>
      <c r="AA269" s="3"/>
    </row>
    <row r="270" spans="5:27" s="2" customFormat="1" x14ac:dyDescent="0.25">
      <c r="E270" s="4"/>
      <c r="G270" s="3"/>
      <c r="I270" s="4"/>
      <c r="K270" s="3"/>
      <c r="M270" s="4"/>
      <c r="O270" s="3"/>
      <c r="Q270" s="4"/>
      <c r="S270" s="3"/>
      <c r="U270" s="4"/>
      <c r="W270" s="3"/>
      <c r="Y270" s="4"/>
      <c r="AA270" s="3"/>
    </row>
    <row r="271" spans="5:27" s="2" customFormat="1" x14ac:dyDescent="0.25">
      <c r="E271" s="4"/>
      <c r="G271" s="3"/>
      <c r="I271" s="4"/>
      <c r="K271" s="3"/>
      <c r="M271" s="4"/>
      <c r="O271" s="3"/>
      <c r="Q271" s="4"/>
      <c r="S271" s="3"/>
      <c r="U271" s="4"/>
      <c r="W271" s="3"/>
      <c r="Y271" s="4"/>
      <c r="AA271" s="3"/>
    </row>
    <row r="272" spans="5:27" s="2" customFormat="1" x14ac:dyDescent="0.25">
      <c r="E272" s="4"/>
      <c r="G272" s="3"/>
      <c r="I272" s="4"/>
      <c r="K272" s="3"/>
      <c r="M272" s="4"/>
      <c r="O272" s="3"/>
      <c r="Q272" s="4"/>
      <c r="S272" s="3"/>
      <c r="U272" s="4"/>
      <c r="W272" s="3"/>
      <c r="Y272" s="4"/>
      <c r="AA272" s="3"/>
    </row>
    <row r="273" spans="5:27" s="2" customFormat="1" x14ac:dyDescent="0.25">
      <c r="E273" s="4"/>
      <c r="G273" s="3"/>
      <c r="I273" s="4"/>
      <c r="K273" s="3"/>
      <c r="M273" s="4"/>
      <c r="O273" s="3"/>
      <c r="Q273" s="4"/>
      <c r="S273" s="3"/>
      <c r="U273" s="4"/>
      <c r="W273" s="3"/>
      <c r="Y273" s="4"/>
      <c r="AA273" s="3"/>
    </row>
    <row r="274" spans="5:27" s="2" customFormat="1" x14ac:dyDescent="0.25">
      <c r="E274" s="4"/>
      <c r="G274" s="3"/>
      <c r="I274" s="4"/>
      <c r="K274" s="3"/>
      <c r="M274" s="4"/>
      <c r="O274" s="3"/>
      <c r="Q274" s="4"/>
      <c r="S274" s="3"/>
      <c r="U274" s="4"/>
      <c r="W274" s="3"/>
      <c r="Y274" s="4"/>
      <c r="AA274" s="3"/>
    </row>
  </sheetData>
  <mergeCells count="7">
    <mergeCell ref="X5:AA5"/>
    <mergeCell ref="B2:C3"/>
    <mergeCell ref="D5:G5"/>
    <mergeCell ref="H5:K5"/>
    <mergeCell ref="L5:O5"/>
    <mergeCell ref="P5:S5"/>
    <mergeCell ref="T5:W5"/>
  </mergeCells>
  <pageMargins left="0.7" right="0.7" top="0.75" bottom="0.75" header="0.3" footer="0.3"/>
  <pageSetup paperSize="9" orientation="portrait" horizontalDpi="4294967294" verticalDpi="4294967294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37D6-0A31-4876-AD14-3AA689326456}">
  <sheetPr>
    <tabColor rgb="FFFF0000"/>
    <pageSetUpPr fitToPage="1"/>
  </sheetPr>
  <dimension ref="A1:AD47"/>
  <sheetViews>
    <sheetView showGridLines="0" workbookViewId="0">
      <selection activeCell="E5" sqref="E5"/>
    </sheetView>
  </sheetViews>
  <sheetFormatPr baseColWidth="10" defaultRowHeight="15" x14ac:dyDescent="0.25"/>
  <cols>
    <col min="1" max="1" width="16.5703125" bestFit="1" customWidth="1"/>
    <col min="2" max="2" width="12.28515625" style="135" bestFit="1" customWidth="1"/>
    <col min="3" max="3" width="20.28515625" style="99" bestFit="1" customWidth="1"/>
    <col min="4" max="4" width="11.28515625" style="99" bestFit="1" customWidth="1"/>
    <col min="5" max="5" width="10.7109375" style="99" bestFit="1" customWidth="1"/>
    <col min="6" max="6" width="10.7109375" style="99" customWidth="1"/>
    <col min="7" max="7" width="10.7109375" style="147" customWidth="1"/>
    <col min="8" max="8" width="10" style="149" bestFit="1" customWidth="1"/>
    <col min="9" max="11" width="10" style="149" customWidth="1"/>
    <col min="12" max="12" width="12.140625" style="147" bestFit="1" customWidth="1"/>
    <col min="13" max="13" width="12.140625" style="149" bestFit="1" customWidth="1"/>
    <col min="14" max="16" width="10" style="149" customWidth="1"/>
    <col min="17" max="17" width="74.7109375" style="149" customWidth="1"/>
    <col min="18" max="18" width="10" style="149" customWidth="1"/>
    <col min="19" max="19" width="25.7109375" style="149" bestFit="1" customWidth="1"/>
    <col min="20" max="28" width="10" style="149" customWidth="1"/>
  </cols>
  <sheetData>
    <row r="1" spans="1:30" ht="75.75" thickBot="1" x14ac:dyDescent="0.3">
      <c r="A1" s="107" t="s">
        <v>292</v>
      </c>
      <c r="B1" s="107" t="s">
        <v>293</v>
      </c>
      <c r="C1" s="107" t="s">
        <v>166</v>
      </c>
      <c r="D1" s="144" t="s">
        <v>167</v>
      </c>
      <c r="E1" s="107" t="s">
        <v>168</v>
      </c>
      <c r="F1" s="107" t="s">
        <v>294</v>
      </c>
      <c r="G1" s="146" t="s">
        <v>295</v>
      </c>
      <c r="H1" s="154" t="s">
        <v>81</v>
      </c>
      <c r="I1" s="154" t="s">
        <v>270</v>
      </c>
      <c r="J1" s="154" t="s">
        <v>271</v>
      </c>
      <c r="K1" s="154" t="s">
        <v>272</v>
      </c>
      <c r="L1" s="155" t="s">
        <v>273</v>
      </c>
      <c r="M1" s="154" t="s">
        <v>274</v>
      </c>
      <c r="N1" s="154" t="s">
        <v>275</v>
      </c>
      <c r="O1" s="154" t="s">
        <v>276</v>
      </c>
      <c r="P1" s="154" t="s">
        <v>277</v>
      </c>
      <c r="Q1" s="154" t="s">
        <v>278</v>
      </c>
      <c r="R1" s="154" t="s">
        <v>279</v>
      </c>
      <c r="S1" s="154" t="s">
        <v>280</v>
      </c>
      <c r="T1" s="154" t="s">
        <v>82</v>
      </c>
      <c r="U1" s="154" t="s">
        <v>281</v>
      </c>
      <c r="V1" s="154" t="s">
        <v>282</v>
      </c>
      <c r="W1" s="154" t="s">
        <v>283</v>
      </c>
      <c r="X1" s="154" t="s">
        <v>284</v>
      </c>
      <c r="Y1" s="154" t="s">
        <v>285</v>
      </c>
      <c r="Z1" s="154" t="s">
        <v>286</v>
      </c>
      <c r="AA1" s="154" t="s">
        <v>287</v>
      </c>
      <c r="AB1" s="154" t="s">
        <v>288</v>
      </c>
      <c r="AC1" s="154" t="s">
        <v>289</v>
      </c>
      <c r="AD1" s="154" t="s">
        <v>290</v>
      </c>
    </row>
    <row r="2" spans="1:30" ht="15.75" thickTop="1" x14ac:dyDescent="0.25">
      <c r="A2" s="137" t="s">
        <v>291</v>
      </c>
      <c r="B2" s="136">
        <v>1085.32</v>
      </c>
      <c r="C2" s="99" t="str" cm="1">
        <f t="array" ref="C2:H43">_xlfn.LET(_xlpm.idx,INT((_xlfn.SEQUENCE(COUNTA('2026-3'!E2:E85)*8,1,0))/2)+1,_xlpm.datosC,INDEX('2026-3'!C2:C85,_xlpm.idx),_xlpm.datosD,INDEX('2026-3'!D2:D85,_xlpm.idx),_xlpm.datosE,INDEX('2026-3'!E2:E85,_xlpm.idx),_xlpm.datosT,INDEX('2026-3'!T2:T85,_xlpm.idx),_xlpm.datosQR,IF(MOD(_xlfn.SEQUENCE(COUNTA('2026-3'!E2:E85)*8,1,1),2)=1,INDEX('2026-3'!Q2:Q85,_xlpm.idx),INDEX('2026-3'!R2:R85,_xlpm.idx)),_xlpm.datosS,INDEX('2026-3'!S2:S85,_xlpm.idx),_xlpm.resultado,_xlfn._xlws.SORT(CHOOSE({1,2,3,4,5,6},_xlpm.datosC,_xlpm.datosD,_xlpm.datosE,_xlpm.datosT,_xlpm.datosQR,_xlpm.datosS),4),_xlfn._xlws.FILTER(_xlpm.resultado,INDEX(_xlpm.resultado,,3)&lt;&gt;0))</f>
        <v>IR-1643</v>
      </c>
      <c r="D2" s="99" t="str">
        <v>35E33608</v>
      </c>
      <c r="E2" s="99" t="str">
        <v>10.72.8.211</v>
      </c>
      <c r="F2" s="99">
        <v>101</v>
      </c>
      <c r="G2" s="147">
        <v>51.681904761904761</v>
      </c>
      <c r="H2" s="149">
        <v>931221108</v>
      </c>
      <c r="L2" s="147">
        <f>IF(G2&gt;0,G2,0)</f>
        <v>51.681904761904761</v>
      </c>
      <c r="M2" s="147">
        <f>ABS(+IF(G2&lt;0,G2,0))</f>
        <v>0</v>
      </c>
      <c r="Q2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S2" s="149" t="str">
        <f>"Factura N° " &amp; $A$2</f>
        <v>Factura N° 01-F020-00027840</v>
      </c>
      <c r="T2" s="149">
        <f>F2</f>
        <v>101</v>
      </c>
    </row>
    <row r="3" spans="1:30" x14ac:dyDescent="0.25">
      <c r="A3" s="151" t="s">
        <v>296</v>
      </c>
      <c r="B3" s="152">
        <v>46112</v>
      </c>
      <c r="C3" s="99" t="str">
        <v>IR-1643</v>
      </c>
      <c r="D3" s="99" t="str">
        <v>35E33608</v>
      </c>
      <c r="E3" s="99" t="str">
        <v>10.72.8.211</v>
      </c>
      <c r="F3" s="99">
        <v>101</v>
      </c>
      <c r="G3" s="147">
        <v>346.38239999999996</v>
      </c>
      <c r="H3" s="149">
        <v>931221108</v>
      </c>
      <c r="L3" s="147">
        <f t="shared" ref="L3:L43" si="0">IF(G3&gt;0,G3,0)</f>
        <v>346.38239999999996</v>
      </c>
      <c r="M3" s="147">
        <f t="shared" ref="M3:M43" si="1">ABS(+IF(G3&lt;0,G3,0))</f>
        <v>0</v>
      </c>
      <c r="Q3" s="153" t="str">
        <f>"CONSUMO DE COPIAS "&amp;D3</f>
        <v>CONSUMO DE COPIAS 35E33608</v>
      </c>
      <c r="S3" s="149" t="str">
        <f t="shared" ref="S3:S43" si="2">"Factura N° " &amp; $A$2</f>
        <v>Factura N° 01-F020-00027840</v>
      </c>
      <c r="T3" s="149">
        <f t="shared" ref="T3:T43" si="3">F3</f>
        <v>101</v>
      </c>
    </row>
    <row r="4" spans="1:30" x14ac:dyDescent="0.25">
      <c r="C4" s="145" t="str">
        <v>IR-1643</v>
      </c>
      <c r="D4" s="145" t="str">
        <v>35E33607</v>
      </c>
      <c r="E4" s="145" t="str">
        <v>10.72.8.153</v>
      </c>
      <c r="F4" s="145">
        <v>101</v>
      </c>
      <c r="G4" s="148">
        <v>51.681904761904761</v>
      </c>
      <c r="H4" s="150">
        <v>931221108</v>
      </c>
      <c r="I4" s="150"/>
      <c r="J4" s="150"/>
      <c r="K4" s="150"/>
      <c r="L4" s="148">
        <f t="shared" si="0"/>
        <v>51.681904761904761</v>
      </c>
      <c r="M4" s="147">
        <f t="shared" si="1"/>
        <v>0</v>
      </c>
      <c r="N4" s="150"/>
      <c r="O4" s="150"/>
      <c r="P4" s="150"/>
      <c r="Q4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R4" s="150"/>
      <c r="S4" s="149" t="str">
        <f t="shared" si="2"/>
        <v>Factura N° 01-F020-00027840</v>
      </c>
      <c r="T4" s="149">
        <f t="shared" si="3"/>
        <v>101</v>
      </c>
      <c r="U4" s="150"/>
      <c r="V4" s="150"/>
      <c r="W4" s="150"/>
      <c r="X4" s="150"/>
      <c r="Y4" s="150"/>
      <c r="Z4" s="150"/>
      <c r="AA4" s="150"/>
      <c r="AB4" s="150"/>
    </row>
    <row r="5" spans="1:30" x14ac:dyDescent="0.25">
      <c r="C5" s="145" t="str">
        <v>IR-1643</v>
      </c>
      <c r="D5" s="145" t="str">
        <v>35E33607</v>
      </c>
      <c r="E5" s="145" t="str">
        <v>10.72.8.153</v>
      </c>
      <c r="F5" s="145">
        <v>101</v>
      </c>
      <c r="G5" s="148">
        <v>85.847999999999999</v>
      </c>
      <c r="H5" s="150">
        <v>931221108</v>
      </c>
      <c r="I5" s="150"/>
      <c r="J5" s="150"/>
      <c r="K5" s="150"/>
      <c r="L5" s="148">
        <f t="shared" si="0"/>
        <v>85.847999999999999</v>
      </c>
      <c r="M5" s="147">
        <f t="shared" si="1"/>
        <v>0</v>
      </c>
      <c r="N5" s="150"/>
      <c r="O5" s="150"/>
      <c r="P5" s="150"/>
      <c r="Q5" s="153" t="str">
        <f>"CONSUMO DE COPIAS "&amp;D5</f>
        <v>CONSUMO DE COPIAS 35E33607</v>
      </c>
      <c r="R5" s="150"/>
      <c r="S5" s="149" t="str">
        <f t="shared" si="2"/>
        <v>Factura N° 01-F020-00027840</v>
      </c>
      <c r="T5" s="149">
        <f t="shared" si="3"/>
        <v>101</v>
      </c>
      <c r="U5" s="150"/>
      <c r="V5" s="150"/>
      <c r="W5" s="150"/>
      <c r="X5" s="150"/>
      <c r="Y5" s="150"/>
      <c r="Z5" s="150"/>
      <c r="AA5" s="150"/>
      <c r="AB5" s="150"/>
    </row>
    <row r="6" spans="1:30" x14ac:dyDescent="0.25">
      <c r="C6" s="99" t="str">
        <v>WF-C5790</v>
      </c>
      <c r="D6" s="99" t="str">
        <v>X3B7003711</v>
      </c>
      <c r="E6" s="99" t="str">
        <v>10.72.8.205</v>
      </c>
      <c r="F6" s="99">
        <v>101</v>
      </c>
      <c r="G6" s="147">
        <v>51.681904761904761</v>
      </c>
      <c r="H6" s="149">
        <v>931221108</v>
      </c>
      <c r="L6" s="147">
        <f t="shared" si="0"/>
        <v>51.681904761904761</v>
      </c>
      <c r="M6" s="147">
        <f t="shared" si="1"/>
        <v>0</v>
      </c>
      <c r="Q6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S6" s="149" t="str">
        <f t="shared" si="2"/>
        <v>Factura N° 01-F020-00027840</v>
      </c>
      <c r="T6" s="149">
        <f t="shared" si="3"/>
        <v>101</v>
      </c>
    </row>
    <row r="7" spans="1:30" x14ac:dyDescent="0.25">
      <c r="C7" s="99" t="str">
        <v>WF-C5790</v>
      </c>
      <c r="D7" s="99" t="str">
        <v>X3B7003711</v>
      </c>
      <c r="E7" s="99" t="str">
        <v>10.72.8.205</v>
      </c>
      <c r="F7" s="99">
        <v>101</v>
      </c>
      <c r="G7" s="147">
        <v>44.706399999999995</v>
      </c>
      <c r="H7" s="149">
        <v>931221108</v>
      </c>
      <c r="L7" s="147">
        <f t="shared" si="0"/>
        <v>44.706399999999995</v>
      </c>
      <c r="M7" s="147">
        <f t="shared" si="1"/>
        <v>0</v>
      </c>
      <c r="Q7" s="153" t="str">
        <f>"CONSUMO DE COPIAS "&amp;D7</f>
        <v>CONSUMO DE COPIAS X3B7003711</v>
      </c>
      <c r="S7" s="149" t="str">
        <f t="shared" si="2"/>
        <v>Factura N° 01-F020-00027840</v>
      </c>
      <c r="T7" s="149">
        <f t="shared" si="3"/>
        <v>101</v>
      </c>
    </row>
    <row r="8" spans="1:30" x14ac:dyDescent="0.25">
      <c r="C8" s="99" t="str">
        <v>WF-C5890</v>
      </c>
      <c r="D8" s="99" t="str">
        <v>XBJZ017266</v>
      </c>
      <c r="E8" s="99" t="str">
        <v>10.72.8.229</v>
      </c>
      <c r="F8" s="99">
        <v>102</v>
      </c>
      <c r="G8" s="147">
        <v>51.681904761904761</v>
      </c>
      <c r="H8" s="149">
        <v>931221108</v>
      </c>
      <c r="L8" s="147">
        <f t="shared" si="0"/>
        <v>51.681904761904761</v>
      </c>
      <c r="M8" s="147">
        <f t="shared" si="1"/>
        <v>0</v>
      </c>
      <c r="Q8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S8" s="149" t="str">
        <f t="shared" si="2"/>
        <v>Factura N° 01-F020-00027840</v>
      </c>
      <c r="T8" s="149">
        <f t="shared" si="3"/>
        <v>102</v>
      </c>
    </row>
    <row r="9" spans="1:30" x14ac:dyDescent="0.25">
      <c r="C9" s="99" t="str">
        <v>WF-C5890</v>
      </c>
      <c r="D9" s="99" t="str">
        <v>XBJZ017266</v>
      </c>
      <c r="E9" s="99" t="str">
        <v>10.72.8.229</v>
      </c>
      <c r="F9" s="99">
        <v>102</v>
      </c>
      <c r="G9" s="147">
        <v>192.65359999999998</v>
      </c>
      <c r="H9" s="149">
        <v>931221108</v>
      </c>
      <c r="L9" s="147">
        <f t="shared" si="0"/>
        <v>192.65359999999998</v>
      </c>
      <c r="M9" s="147">
        <f t="shared" si="1"/>
        <v>0</v>
      </c>
      <c r="Q9" s="153" t="str">
        <f>"CONSUMO DE COPIAS "&amp;D9</f>
        <v>CONSUMO DE COPIAS XBJZ017266</v>
      </c>
      <c r="S9" s="149" t="str">
        <f t="shared" si="2"/>
        <v>Factura N° 01-F020-00027840</v>
      </c>
      <c r="T9" s="149">
        <f t="shared" si="3"/>
        <v>102</v>
      </c>
    </row>
    <row r="10" spans="1:30" x14ac:dyDescent="0.25">
      <c r="C10" s="99" t="str">
        <v>WF-C5890</v>
      </c>
      <c r="D10" s="99" t="str">
        <v>XBJZ017603</v>
      </c>
      <c r="E10" s="99" t="str">
        <v>10.72.8.196</v>
      </c>
      <c r="F10" s="99">
        <v>103</v>
      </c>
      <c r="G10" s="147">
        <v>51.681904761904761</v>
      </c>
      <c r="H10" s="149">
        <v>931221108</v>
      </c>
      <c r="L10" s="147">
        <f t="shared" si="0"/>
        <v>51.681904761904761</v>
      </c>
      <c r="M10" s="147">
        <f t="shared" si="1"/>
        <v>0</v>
      </c>
      <c r="Q10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S10" s="149" t="str">
        <f t="shared" si="2"/>
        <v>Factura N° 01-F020-00027840</v>
      </c>
      <c r="T10" s="149">
        <f t="shared" si="3"/>
        <v>103</v>
      </c>
    </row>
    <row r="11" spans="1:30" x14ac:dyDescent="0.25">
      <c r="C11" s="99" t="str">
        <v>WF-C5890</v>
      </c>
      <c r="D11" s="99" t="str">
        <v>XBJZ017603</v>
      </c>
      <c r="E11" s="99" t="str">
        <v>10.72.8.196</v>
      </c>
      <c r="F11" s="99">
        <v>103</v>
      </c>
      <c r="G11" s="147">
        <v>-1.3191999999999995</v>
      </c>
      <c r="H11" s="149">
        <v>931221108</v>
      </c>
      <c r="L11" s="147">
        <f t="shared" si="0"/>
        <v>0</v>
      </c>
      <c r="M11" s="147">
        <f t="shared" si="1"/>
        <v>1.3191999999999995</v>
      </c>
      <c r="Q11" s="153" t="str">
        <f>"CONSUMO DE COPIAS "&amp;D11</f>
        <v>CONSUMO DE COPIAS XBJZ017603</v>
      </c>
      <c r="S11" s="149" t="str">
        <f t="shared" si="2"/>
        <v>Factura N° 01-F020-00027840</v>
      </c>
      <c r="T11" s="149">
        <f t="shared" si="3"/>
        <v>103</v>
      </c>
    </row>
    <row r="12" spans="1:30" x14ac:dyDescent="0.25">
      <c r="C12" s="99" t="str">
        <v>WF-C5790</v>
      </c>
      <c r="D12" s="99" t="str">
        <v>X3B7003661</v>
      </c>
      <c r="E12" s="99" t="str">
        <v>10.72.8.132</v>
      </c>
      <c r="F12" s="99">
        <v>200</v>
      </c>
      <c r="G12" s="147">
        <v>51.681904761904761</v>
      </c>
      <c r="H12" s="149">
        <v>932341308</v>
      </c>
      <c r="L12" s="147">
        <f t="shared" si="0"/>
        <v>51.681904761904761</v>
      </c>
      <c r="M12" s="147">
        <f t="shared" si="1"/>
        <v>0</v>
      </c>
      <c r="Q12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S12" s="149" t="str">
        <f t="shared" si="2"/>
        <v>Factura N° 01-F020-00027840</v>
      </c>
      <c r="T12" s="149">
        <f t="shared" si="3"/>
        <v>200</v>
      </c>
    </row>
    <row r="13" spans="1:30" x14ac:dyDescent="0.25">
      <c r="C13" s="99" t="str">
        <v>WF-C5790</v>
      </c>
      <c r="D13" s="99" t="str">
        <v>X3B7003661</v>
      </c>
      <c r="E13" s="99" t="str">
        <v>10.72.8.132</v>
      </c>
      <c r="F13" s="99">
        <v>200</v>
      </c>
      <c r="G13" s="147">
        <v>437.36239999999998</v>
      </c>
      <c r="H13" s="149">
        <v>932341308</v>
      </c>
      <c r="L13" s="147">
        <f t="shared" si="0"/>
        <v>437.36239999999998</v>
      </c>
      <c r="M13" s="147">
        <f t="shared" si="1"/>
        <v>0</v>
      </c>
      <c r="Q13" s="153" t="str">
        <f>"CONSUMO DE COPIAS "&amp;D13</f>
        <v>CONSUMO DE COPIAS X3B7003661</v>
      </c>
      <c r="S13" s="149" t="str">
        <f t="shared" si="2"/>
        <v>Factura N° 01-F020-00027840</v>
      </c>
      <c r="T13" s="149">
        <f t="shared" si="3"/>
        <v>200</v>
      </c>
    </row>
    <row r="14" spans="1:30" x14ac:dyDescent="0.25">
      <c r="C14" s="99" t="str">
        <v>WF-C5790</v>
      </c>
      <c r="D14" s="99" t="str">
        <v>X3B7003876</v>
      </c>
      <c r="E14" s="99" t="str">
        <v>10.72.8.220</v>
      </c>
      <c r="F14" s="99">
        <v>200</v>
      </c>
      <c r="G14" s="147">
        <v>51.681904761904761</v>
      </c>
      <c r="H14" s="149">
        <v>932341308</v>
      </c>
      <c r="L14" s="147">
        <f>IF(G14&gt;0,G14,0)</f>
        <v>51.681904761904761</v>
      </c>
      <c r="M14" s="147">
        <f t="shared" si="1"/>
        <v>0</v>
      </c>
      <c r="Q14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S14" s="149" t="str">
        <f t="shared" si="2"/>
        <v>Factura N° 01-F020-00027840</v>
      </c>
      <c r="T14" s="149">
        <f t="shared" si="3"/>
        <v>200</v>
      </c>
    </row>
    <row r="15" spans="1:30" x14ac:dyDescent="0.25">
      <c r="C15" s="99" t="str">
        <v>WF-C5790</v>
      </c>
      <c r="D15" s="99" t="str">
        <v>X3B7003876</v>
      </c>
      <c r="E15" s="99" t="str">
        <v>10.72.8.220</v>
      </c>
      <c r="F15" s="99">
        <v>200</v>
      </c>
      <c r="G15" s="147">
        <v>7.5655999999999999</v>
      </c>
      <c r="H15" s="149">
        <v>932341308</v>
      </c>
      <c r="L15" s="147">
        <f t="shared" si="0"/>
        <v>7.5655999999999999</v>
      </c>
      <c r="M15" s="147">
        <f t="shared" si="1"/>
        <v>0</v>
      </c>
      <c r="Q15" s="153" t="str">
        <f>"CONSUMO DE COPIAS "&amp;D15</f>
        <v>CONSUMO DE COPIAS X3B7003876</v>
      </c>
      <c r="S15" s="149" t="str">
        <f t="shared" si="2"/>
        <v>Factura N° 01-F020-00027840</v>
      </c>
      <c r="T15" s="149">
        <f t="shared" si="3"/>
        <v>200</v>
      </c>
    </row>
    <row r="16" spans="1:30" x14ac:dyDescent="0.25">
      <c r="C16" s="99" t="str">
        <v>WF-C5890</v>
      </c>
      <c r="D16" s="99" t="str">
        <v>XBJZ021745</v>
      </c>
      <c r="E16" s="99" t="str">
        <v>10.72.8.219</v>
      </c>
      <c r="F16" s="99">
        <v>200</v>
      </c>
      <c r="G16" s="147">
        <v>51.681904761904761</v>
      </c>
      <c r="H16" s="149">
        <v>932341308</v>
      </c>
      <c r="L16" s="147">
        <f t="shared" si="0"/>
        <v>51.681904761904761</v>
      </c>
      <c r="M16" s="147">
        <f t="shared" si="1"/>
        <v>0</v>
      </c>
      <c r="Q16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S16" s="149" t="str">
        <f t="shared" si="2"/>
        <v>Factura N° 01-F020-00027840</v>
      </c>
      <c r="T16" s="149">
        <f t="shared" si="3"/>
        <v>200</v>
      </c>
    </row>
    <row r="17" spans="3:20" x14ac:dyDescent="0.25">
      <c r="C17" s="99" t="str">
        <v>WF-C5890</v>
      </c>
      <c r="D17" s="99" t="str">
        <v>XBJZ021745</v>
      </c>
      <c r="E17" s="99" t="str">
        <v>10.72.8.219</v>
      </c>
      <c r="F17" s="99">
        <v>200</v>
      </c>
      <c r="G17" s="147">
        <v>167.14959999999999</v>
      </c>
      <c r="H17" s="149">
        <v>932341308</v>
      </c>
      <c r="L17" s="147">
        <f t="shared" si="0"/>
        <v>167.14959999999999</v>
      </c>
      <c r="M17" s="147">
        <f t="shared" si="1"/>
        <v>0</v>
      </c>
      <c r="Q17" s="153" t="str">
        <f>"CONSUMO DE COPIAS "&amp;D17</f>
        <v>CONSUMO DE COPIAS XBJZ021745</v>
      </c>
      <c r="S17" s="149" t="str">
        <f t="shared" si="2"/>
        <v>Factura N° 01-F020-00027840</v>
      </c>
      <c r="T17" s="149">
        <f t="shared" si="3"/>
        <v>200</v>
      </c>
    </row>
    <row r="18" spans="3:20" x14ac:dyDescent="0.25">
      <c r="C18" s="99" t="str">
        <v>WF-C5790</v>
      </c>
      <c r="D18" s="99" t="str">
        <v>X3B7003671</v>
      </c>
      <c r="E18" s="99" t="str">
        <v>10.72.8.208</v>
      </c>
      <c r="F18" s="99">
        <v>204</v>
      </c>
      <c r="G18" s="147">
        <v>51.681904761904761</v>
      </c>
      <c r="H18" s="149">
        <v>932341308</v>
      </c>
      <c r="L18" s="147">
        <f t="shared" si="0"/>
        <v>51.681904761904761</v>
      </c>
      <c r="M18" s="147">
        <f t="shared" si="1"/>
        <v>0</v>
      </c>
      <c r="Q18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S18" s="149" t="str">
        <f t="shared" si="2"/>
        <v>Factura N° 01-F020-00027840</v>
      </c>
      <c r="T18" s="149">
        <f t="shared" si="3"/>
        <v>204</v>
      </c>
    </row>
    <row r="19" spans="3:20" x14ac:dyDescent="0.25">
      <c r="C19" s="99" t="str">
        <v>WF-C5790</v>
      </c>
      <c r="D19" s="99" t="str">
        <v>X3B7003671</v>
      </c>
      <c r="E19" s="99" t="str">
        <v>10.72.8.208</v>
      </c>
      <c r="F19" s="99">
        <v>204</v>
      </c>
      <c r="G19" s="147">
        <v>1.8695999999999999</v>
      </c>
      <c r="H19" s="149">
        <v>932341308</v>
      </c>
      <c r="L19" s="147">
        <f t="shared" si="0"/>
        <v>1.8695999999999999</v>
      </c>
      <c r="M19" s="147">
        <f t="shared" si="1"/>
        <v>0</v>
      </c>
      <c r="Q19" s="153" t="str">
        <f>"CONSUMO DE COPIAS "&amp;D19</f>
        <v>CONSUMO DE COPIAS X3B7003671</v>
      </c>
      <c r="S19" s="149" t="str">
        <f t="shared" si="2"/>
        <v>Factura N° 01-F020-00027840</v>
      </c>
      <c r="T19" s="149">
        <f t="shared" si="3"/>
        <v>204</v>
      </c>
    </row>
    <row r="20" spans="3:20" x14ac:dyDescent="0.25">
      <c r="C20" s="99" t="str">
        <v>WF-C5790</v>
      </c>
      <c r="D20" s="99" t="str">
        <v>X3B7003660</v>
      </c>
      <c r="E20" s="99" t="str">
        <v>10.72.8.204</v>
      </c>
      <c r="F20" s="99">
        <v>206</v>
      </c>
      <c r="G20" s="147">
        <v>51.681904761904761</v>
      </c>
      <c r="H20" s="149">
        <v>932341308</v>
      </c>
      <c r="L20" s="147">
        <f t="shared" si="0"/>
        <v>51.681904761904761</v>
      </c>
      <c r="M20" s="147">
        <f t="shared" si="1"/>
        <v>0</v>
      </c>
      <c r="Q20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S20" s="149" t="str">
        <f t="shared" si="2"/>
        <v>Factura N° 01-F020-00027840</v>
      </c>
      <c r="T20" s="149">
        <f t="shared" si="3"/>
        <v>206</v>
      </c>
    </row>
    <row r="21" spans="3:20" x14ac:dyDescent="0.25">
      <c r="C21" s="99" t="str">
        <v>WF-C5790</v>
      </c>
      <c r="D21" s="99" t="str">
        <v>X3B7003660</v>
      </c>
      <c r="E21" s="99" t="str">
        <v>10.72.8.204</v>
      </c>
      <c r="F21" s="99">
        <v>206</v>
      </c>
      <c r="G21" s="147">
        <v>81.977599999999995</v>
      </c>
      <c r="H21" s="149">
        <v>932341308</v>
      </c>
      <c r="L21" s="147">
        <f t="shared" si="0"/>
        <v>81.977599999999995</v>
      </c>
      <c r="M21" s="147">
        <f t="shared" si="1"/>
        <v>0</v>
      </c>
      <c r="Q21" s="153" t="str">
        <f>"CONSUMO DE COPIAS "&amp;D21</f>
        <v>CONSUMO DE COPIAS X3B7003660</v>
      </c>
      <c r="S21" s="149" t="str">
        <f t="shared" si="2"/>
        <v>Factura N° 01-F020-00027840</v>
      </c>
      <c r="T21" s="149">
        <f t="shared" si="3"/>
        <v>206</v>
      </c>
    </row>
    <row r="22" spans="3:20" x14ac:dyDescent="0.25">
      <c r="C22" s="99" t="str">
        <v>WF-C5790</v>
      </c>
      <c r="D22" s="99" t="str">
        <v>X3B7002433</v>
      </c>
      <c r="E22" s="99" t="str">
        <v>10.72.8.191</v>
      </c>
      <c r="F22" s="99">
        <v>207</v>
      </c>
      <c r="G22" s="147">
        <v>51.681904761904761</v>
      </c>
      <c r="H22" s="149">
        <v>932341308</v>
      </c>
      <c r="L22" s="147">
        <f t="shared" si="0"/>
        <v>51.681904761904761</v>
      </c>
      <c r="M22" s="147">
        <f t="shared" si="1"/>
        <v>0</v>
      </c>
      <c r="Q22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S22" s="149" t="str">
        <f t="shared" si="2"/>
        <v>Factura N° 01-F020-00027840</v>
      </c>
      <c r="T22" s="149">
        <f t="shared" si="3"/>
        <v>207</v>
      </c>
    </row>
    <row r="23" spans="3:20" x14ac:dyDescent="0.25">
      <c r="C23" s="99" t="str">
        <v>WF-C5790</v>
      </c>
      <c r="D23" s="99" t="str">
        <v>X3B7002433</v>
      </c>
      <c r="E23" s="99" t="str">
        <v>10.72.8.191</v>
      </c>
      <c r="F23" s="99">
        <v>207</v>
      </c>
      <c r="G23" s="147">
        <v>174.17599999999999</v>
      </c>
      <c r="H23" s="149">
        <v>932341308</v>
      </c>
      <c r="L23" s="147">
        <f t="shared" si="0"/>
        <v>174.17599999999999</v>
      </c>
      <c r="M23" s="147">
        <f t="shared" si="1"/>
        <v>0</v>
      </c>
      <c r="Q23" s="153" t="str">
        <f>"CONSUMO DE COPIAS "&amp;D23</f>
        <v>CONSUMO DE COPIAS X3B7002433</v>
      </c>
      <c r="S23" s="149" t="str">
        <f t="shared" si="2"/>
        <v>Factura N° 01-F020-00027840</v>
      </c>
      <c r="T23" s="149">
        <f t="shared" si="3"/>
        <v>207</v>
      </c>
    </row>
    <row r="24" spans="3:20" x14ac:dyDescent="0.25">
      <c r="C24" s="99" t="str">
        <v>WF-C5790</v>
      </c>
      <c r="D24" s="99" t="str">
        <v>X3B7003703</v>
      </c>
      <c r="E24" s="99" t="str">
        <v>10.9.10.153</v>
      </c>
      <c r="F24" s="99">
        <v>304</v>
      </c>
      <c r="G24" s="147">
        <v>51.681904761904761</v>
      </c>
      <c r="H24" s="149">
        <v>933441108</v>
      </c>
      <c r="L24" s="147">
        <f>IF(G24&gt;0,G24,0)</f>
        <v>51.681904761904761</v>
      </c>
      <c r="M24" s="147">
        <f t="shared" si="1"/>
        <v>0</v>
      </c>
      <c r="Q24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S24" s="149" t="str">
        <f t="shared" si="2"/>
        <v>Factura N° 01-F020-00027840</v>
      </c>
      <c r="T24" s="149">
        <f t="shared" si="3"/>
        <v>304</v>
      </c>
    </row>
    <row r="25" spans="3:20" x14ac:dyDescent="0.25">
      <c r="C25" s="99" t="str">
        <v>WF-C5790</v>
      </c>
      <c r="D25" s="99" t="str">
        <v>X3B7003703</v>
      </c>
      <c r="E25" s="99" t="str">
        <v>10.9.10.153</v>
      </c>
      <c r="F25" s="99">
        <v>304</v>
      </c>
      <c r="G25" s="147">
        <v>55.459999999999994</v>
      </c>
      <c r="H25" s="149">
        <v>933441108</v>
      </c>
      <c r="L25" s="147">
        <f t="shared" si="0"/>
        <v>55.459999999999994</v>
      </c>
      <c r="M25" s="147">
        <f t="shared" si="1"/>
        <v>0</v>
      </c>
      <c r="Q25" s="153" t="str">
        <f>"CONSUMO DE COPIAS "&amp;D25</f>
        <v>CONSUMO DE COPIAS X3B7003703</v>
      </c>
      <c r="S25" s="149" t="str">
        <f t="shared" si="2"/>
        <v>Factura N° 01-F020-00027840</v>
      </c>
      <c r="T25" s="149">
        <f t="shared" si="3"/>
        <v>304</v>
      </c>
    </row>
    <row r="26" spans="3:20" x14ac:dyDescent="0.25">
      <c r="C26" s="99" t="str">
        <v>WF-C5890</v>
      </c>
      <c r="D26" s="99" t="str">
        <v>XBJZ021772</v>
      </c>
      <c r="E26" s="99" t="str">
        <v>10.72.8.151</v>
      </c>
      <c r="F26" s="99">
        <v>401</v>
      </c>
      <c r="G26" s="147">
        <v>51.681904761904761</v>
      </c>
      <c r="H26" s="149">
        <v>941231308</v>
      </c>
      <c r="L26" s="147">
        <f t="shared" si="0"/>
        <v>51.681904761904761</v>
      </c>
      <c r="M26" s="147">
        <f t="shared" si="1"/>
        <v>0</v>
      </c>
      <c r="Q26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S26" s="149" t="str">
        <f t="shared" si="2"/>
        <v>Factura N° 01-F020-00027840</v>
      </c>
      <c r="T26" s="149">
        <f t="shared" si="3"/>
        <v>401</v>
      </c>
    </row>
    <row r="27" spans="3:20" x14ac:dyDescent="0.25">
      <c r="C27" s="99" t="str">
        <v>WF-C5890</v>
      </c>
      <c r="D27" s="99" t="str">
        <v>XBJZ021772</v>
      </c>
      <c r="E27" s="99" t="str">
        <v>10.72.8.151</v>
      </c>
      <c r="F27" s="99">
        <v>401</v>
      </c>
      <c r="G27" s="147">
        <v>8.845600000000001</v>
      </c>
      <c r="H27" s="149">
        <v>941231308</v>
      </c>
      <c r="L27" s="147">
        <f t="shared" si="0"/>
        <v>8.845600000000001</v>
      </c>
      <c r="M27" s="147">
        <f t="shared" si="1"/>
        <v>0</v>
      </c>
      <c r="Q27" s="153" t="str">
        <f>"CONSUMO DE COPIAS "&amp;D27</f>
        <v>CONSUMO DE COPIAS XBJZ021772</v>
      </c>
      <c r="S27" s="149" t="str">
        <f t="shared" si="2"/>
        <v>Factura N° 01-F020-00027840</v>
      </c>
      <c r="T27" s="149">
        <f t="shared" si="3"/>
        <v>401</v>
      </c>
    </row>
    <row r="28" spans="3:20" x14ac:dyDescent="0.25">
      <c r="C28" s="99" t="str">
        <v>WF-C5790</v>
      </c>
      <c r="D28" s="99" t="str">
        <v>X3B7003739</v>
      </c>
      <c r="E28" s="99" t="str">
        <v>10.72.10.43</v>
      </c>
      <c r="F28" s="99">
        <v>402</v>
      </c>
      <c r="G28" s="147">
        <v>51.681904761904761</v>
      </c>
      <c r="H28" s="149">
        <v>941231308</v>
      </c>
      <c r="L28" s="147">
        <f t="shared" si="0"/>
        <v>51.681904761904761</v>
      </c>
      <c r="M28" s="147">
        <f t="shared" si="1"/>
        <v>0</v>
      </c>
      <c r="Q28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S28" s="149" t="str">
        <f t="shared" si="2"/>
        <v>Factura N° 01-F020-00027840</v>
      </c>
      <c r="T28" s="149">
        <f t="shared" si="3"/>
        <v>402</v>
      </c>
    </row>
    <row r="29" spans="3:20" x14ac:dyDescent="0.25">
      <c r="C29" s="99" t="str">
        <v>WF-C5790</v>
      </c>
      <c r="D29" s="99" t="str">
        <v>X3B7003739</v>
      </c>
      <c r="E29" s="99" t="str">
        <v>10.72.10.43</v>
      </c>
      <c r="F29" s="99">
        <v>402</v>
      </c>
      <c r="G29" s="147">
        <v>-13.912800000000001</v>
      </c>
      <c r="H29" s="149">
        <v>941231308</v>
      </c>
      <c r="L29" s="147">
        <f t="shared" si="0"/>
        <v>0</v>
      </c>
      <c r="M29" s="147">
        <f t="shared" si="1"/>
        <v>13.912800000000001</v>
      </c>
      <c r="Q29" s="153" t="str">
        <f>"CONSUMO DE COPIAS "&amp;D29</f>
        <v>CONSUMO DE COPIAS X3B7003739</v>
      </c>
      <c r="S29" s="149" t="str">
        <f t="shared" si="2"/>
        <v>Factura N° 01-F020-00027840</v>
      </c>
      <c r="T29" s="149">
        <f t="shared" si="3"/>
        <v>402</v>
      </c>
    </row>
    <row r="30" spans="3:20" x14ac:dyDescent="0.25">
      <c r="C30" s="99" t="str">
        <v>IR-1730</v>
      </c>
      <c r="D30" s="99" t="str">
        <v>QFX06245</v>
      </c>
      <c r="E30" s="99" t="str">
        <v>10.72.8.215</v>
      </c>
      <c r="F30" s="99">
        <v>403</v>
      </c>
      <c r="G30" s="147">
        <v>51.681904761904761</v>
      </c>
      <c r="H30" s="149">
        <v>941231308</v>
      </c>
      <c r="L30" s="147">
        <f t="shared" si="0"/>
        <v>51.681904761904761</v>
      </c>
      <c r="M30" s="147">
        <f t="shared" si="1"/>
        <v>0</v>
      </c>
      <c r="Q30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S30" s="149" t="str">
        <f t="shared" si="2"/>
        <v>Factura N° 01-F020-00027840</v>
      </c>
      <c r="T30" s="149">
        <f t="shared" si="3"/>
        <v>403</v>
      </c>
    </row>
    <row r="31" spans="3:20" x14ac:dyDescent="0.25">
      <c r="C31" s="99" t="str">
        <v>IR-1730</v>
      </c>
      <c r="D31" s="99" t="str">
        <v>QFX06245</v>
      </c>
      <c r="E31" s="99" t="str">
        <v>10.72.8.215</v>
      </c>
      <c r="F31" s="99">
        <v>403</v>
      </c>
      <c r="G31" s="147">
        <v>-14.078399999999998</v>
      </c>
      <c r="H31" s="149">
        <v>941231308</v>
      </c>
      <c r="L31" s="147">
        <f t="shared" si="0"/>
        <v>0</v>
      </c>
      <c r="M31" s="147">
        <f t="shared" si="1"/>
        <v>14.078399999999998</v>
      </c>
      <c r="Q31" s="153" t="str">
        <f>"CONSUMO DE COPIAS "&amp;D31</f>
        <v>CONSUMO DE COPIAS QFX06245</v>
      </c>
      <c r="S31" s="149" t="str">
        <f t="shared" si="2"/>
        <v>Factura N° 01-F020-00027840</v>
      </c>
      <c r="T31" s="149">
        <f t="shared" si="3"/>
        <v>403</v>
      </c>
    </row>
    <row r="32" spans="3:20" x14ac:dyDescent="0.25">
      <c r="C32" s="99" t="str">
        <v>WF-C5890</v>
      </c>
      <c r="D32" s="99" t="str">
        <v>XBJZ017602</v>
      </c>
      <c r="E32" s="99" t="str">
        <v>10.72.8.206</v>
      </c>
      <c r="F32" s="99">
        <v>403</v>
      </c>
      <c r="G32" s="147">
        <v>51.681904761904761</v>
      </c>
      <c r="H32" s="149">
        <v>941231308</v>
      </c>
      <c r="L32" s="147">
        <f t="shared" si="0"/>
        <v>51.681904761904761</v>
      </c>
      <c r="M32" s="147">
        <f t="shared" si="1"/>
        <v>0</v>
      </c>
      <c r="Q32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S32" s="149" t="str">
        <f t="shared" si="2"/>
        <v>Factura N° 01-F020-00027840</v>
      </c>
      <c r="T32" s="149">
        <f t="shared" si="3"/>
        <v>403</v>
      </c>
    </row>
    <row r="33" spans="3:20" x14ac:dyDescent="0.25">
      <c r="C33" s="99" t="str">
        <v>WF-C5890</v>
      </c>
      <c r="D33" s="99" t="str">
        <v>XBJZ017602</v>
      </c>
      <c r="E33" s="99" t="str">
        <v>10.72.8.206</v>
      </c>
      <c r="F33" s="99">
        <v>403</v>
      </c>
      <c r="G33" s="147">
        <v>41.796799999999998</v>
      </c>
      <c r="H33" s="149">
        <v>941231308</v>
      </c>
      <c r="L33" s="147">
        <f t="shared" si="0"/>
        <v>41.796799999999998</v>
      </c>
      <c r="M33" s="147">
        <f t="shared" si="1"/>
        <v>0</v>
      </c>
      <c r="Q33" s="153" t="str">
        <f>"CONSUMO DE COPIAS "&amp;D33</f>
        <v>CONSUMO DE COPIAS XBJZ017602</v>
      </c>
      <c r="S33" s="149" t="str">
        <f t="shared" si="2"/>
        <v>Factura N° 01-F020-00027840</v>
      </c>
      <c r="T33" s="149">
        <f t="shared" si="3"/>
        <v>403</v>
      </c>
    </row>
    <row r="34" spans="3:20" x14ac:dyDescent="0.25">
      <c r="C34" s="99" t="str">
        <v>MX-M3070</v>
      </c>
      <c r="D34" s="99" t="str">
        <v>9502370Y</v>
      </c>
      <c r="E34" s="99" t="str">
        <v>10.72.8.207</v>
      </c>
      <c r="F34" s="99">
        <v>403</v>
      </c>
      <c r="G34" s="147">
        <v>51.681904761904761</v>
      </c>
      <c r="H34" s="149">
        <v>941231308</v>
      </c>
      <c r="L34" s="147">
        <f t="shared" si="0"/>
        <v>51.681904761904761</v>
      </c>
      <c r="M34" s="147">
        <f t="shared" si="1"/>
        <v>0</v>
      </c>
      <c r="Q34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S34" s="149" t="str">
        <f t="shared" si="2"/>
        <v>Factura N° 01-F020-00027840</v>
      </c>
      <c r="T34" s="149">
        <f t="shared" si="3"/>
        <v>403</v>
      </c>
    </row>
    <row r="35" spans="3:20" x14ac:dyDescent="0.25">
      <c r="C35" s="99" t="str">
        <v>MX-M3070</v>
      </c>
      <c r="D35" s="99" t="str">
        <v>9502370Y</v>
      </c>
      <c r="E35" s="99" t="str">
        <v>10.72.8.207</v>
      </c>
      <c r="F35" s="99">
        <v>403</v>
      </c>
      <c r="G35" s="147">
        <v>89.476799999999997</v>
      </c>
      <c r="H35" s="149">
        <v>941231308</v>
      </c>
      <c r="L35" s="147">
        <f t="shared" si="0"/>
        <v>89.476799999999997</v>
      </c>
      <c r="M35" s="147">
        <f t="shared" si="1"/>
        <v>0</v>
      </c>
      <c r="Q35" s="153" t="str">
        <f>"CONSUMO DE COPIAS "&amp;D35</f>
        <v>CONSUMO DE COPIAS 9502370Y</v>
      </c>
      <c r="S35" s="149" t="str">
        <f t="shared" si="2"/>
        <v>Factura N° 01-F020-00027840</v>
      </c>
      <c r="T35" s="149">
        <f t="shared" si="3"/>
        <v>403</v>
      </c>
    </row>
    <row r="36" spans="3:20" x14ac:dyDescent="0.25">
      <c r="C36" s="99" t="str">
        <v>MX-3070</v>
      </c>
      <c r="D36" s="99">
        <v>35009304</v>
      </c>
      <c r="E36" s="99" t="str">
        <v>10.72.8.200</v>
      </c>
      <c r="F36" s="99">
        <v>404</v>
      </c>
      <c r="G36" s="147">
        <v>51.681904761904761</v>
      </c>
      <c r="H36" s="149">
        <v>942331307</v>
      </c>
      <c r="L36" s="147">
        <f>IF(G36&gt;0,G36,0)</f>
        <v>51.681904761904761</v>
      </c>
      <c r="M36" s="147">
        <f t="shared" si="1"/>
        <v>0</v>
      </c>
      <c r="Q36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S36" s="149" t="str">
        <f t="shared" si="2"/>
        <v>Factura N° 01-F020-00027840</v>
      </c>
      <c r="T36" s="149">
        <f t="shared" si="3"/>
        <v>404</v>
      </c>
    </row>
    <row r="37" spans="3:20" x14ac:dyDescent="0.25">
      <c r="C37" s="99" t="str">
        <v>MX-3070</v>
      </c>
      <c r="D37" s="99">
        <v>35009304</v>
      </c>
      <c r="E37" s="99" t="str">
        <v>10.72.8.200</v>
      </c>
      <c r="F37" s="99">
        <v>404</v>
      </c>
      <c r="G37" s="147">
        <v>61.403999999999996</v>
      </c>
      <c r="H37" s="149">
        <v>942331307</v>
      </c>
      <c r="L37" s="147">
        <f t="shared" si="0"/>
        <v>61.403999999999996</v>
      </c>
      <c r="M37" s="147">
        <f t="shared" si="1"/>
        <v>0</v>
      </c>
      <c r="Q37" s="153" t="str">
        <f>"CONSUMO DE COPIAS "&amp;D37</f>
        <v>CONSUMO DE COPIAS 35009304</v>
      </c>
      <c r="S37" s="149" t="str">
        <f t="shared" si="2"/>
        <v>Factura N° 01-F020-00027840</v>
      </c>
      <c r="T37" s="149">
        <f t="shared" si="3"/>
        <v>404</v>
      </c>
    </row>
    <row r="38" spans="3:20" x14ac:dyDescent="0.25">
      <c r="C38" s="99" t="str">
        <v>WF-C5790</v>
      </c>
      <c r="D38" s="99" t="str">
        <v>X3B7003659</v>
      </c>
      <c r="E38" s="99" t="str">
        <v>10.72.8.197</v>
      </c>
      <c r="F38" s="99">
        <v>406</v>
      </c>
      <c r="G38" s="147">
        <v>51.681904761904761</v>
      </c>
      <c r="H38" s="149">
        <v>943331308</v>
      </c>
      <c r="L38" s="147">
        <f>IF(G38&gt;0,G38,0)</f>
        <v>51.681904761904761</v>
      </c>
      <c r="M38" s="147">
        <f t="shared" si="1"/>
        <v>0</v>
      </c>
      <c r="Q38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S38" s="149" t="str">
        <f t="shared" si="2"/>
        <v>Factura N° 01-F020-00027840</v>
      </c>
      <c r="T38" s="149">
        <f t="shared" si="3"/>
        <v>406</v>
      </c>
    </row>
    <row r="39" spans="3:20" x14ac:dyDescent="0.25">
      <c r="C39" s="99" t="str">
        <v>WF-C5790</v>
      </c>
      <c r="D39" s="99" t="str">
        <v>X3B7003659</v>
      </c>
      <c r="E39" s="99" t="str">
        <v>10.72.8.197</v>
      </c>
      <c r="F39" s="99">
        <v>406</v>
      </c>
      <c r="G39" s="147">
        <v>17.0672</v>
      </c>
      <c r="H39" s="149">
        <v>943331308</v>
      </c>
      <c r="L39" s="147">
        <f t="shared" si="0"/>
        <v>17.0672</v>
      </c>
      <c r="M39" s="147">
        <f t="shared" si="1"/>
        <v>0</v>
      </c>
      <c r="Q39" s="153" t="str">
        <f>"CONSUMO DE COPIAS "&amp;D39</f>
        <v>CONSUMO DE COPIAS X3B7003659</v>
      </c>
      <c r="S39" s="149" t="str">
        <f t="shared" si="2"/>
        <v>Factura N° 01-F020-00027840</v>
      </c>
      <c r="T39" s="149">
        <f t="shared" si="3"/>
        <v>406</v>
      </c>
    </row>
    <row r="40" spans="3:20" x14ac:dyDescent="0.25">
      <c r="C40" s="99" t="str">
        <v>WF-C5890</v>
      </c>
      <c r="D40" s="99" t="str">
        <v>XBJZ027512</v>
      </c>
      <c r="E40" s="99" t="str">
        <v>10.72.8.210</v>
      </c>
      <c r="F40" s="99">
        <v>406</v>
      </c>
      <c r="G40" s="147">
        <v>51.681904761904761</v>
      </c>
      <c r="H40" s="149">
        <v>943331308</v>
      </c>
      <c r="L40" s="147">
        <f t="shared" si="0"/>
        <v>51.681904761904761</v>
      </c>
      <c r="M40" s="147">
        <f t="shared" si="1"/>
        <v>0</v>
      </c>
      <c r="Q40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S40" s="149" t="str">
        <f t="shared" si="2"/>
        <v>Factura N° 01-F020-00027840</v>
      </c>
      <c r="T40" s="149">
        <f t="shared" si="3"/>
        <v>406</v>
      </c>
    </row>
    <row r="41" spans="3:20" x14ac:dyDescent="0.25">
      <c r="C41" s="99" t="str">
        <v>WF-C5890</v>
      </c>
      <c r="D41" s="99" t="str">
        <v>XBJZ027512</v>
      </c>
      <c r="E41" s="99" t="str">
        <v>10.72.8.210</v>
      </c>
      <c r="F41" s="99">
        <v>406</v>
      </c>
      <c r="G41" s="147">
        <v>180.14240000000001</v>
      </c>
      <c r="H41" s="149">
        <v>943331308</v>
      </c>
      <c r="L41" s="147">
        <f t="shared" si="0"/>
        <v>180.14240000000001</v>
      </c>
      <c r="M41" s="147">
        <f t="shared" si="1"/>
        <v>0</v>
      </c>
      <c r="Q41" s="153" t="str">
        <f>"CONSUMO DE COPIAS "&amp;D41</f>
        <v>CONSUMO DE COPIAS XBJZ027512</v>
      </c>
      <c r="S41" s="149" t="str">
        <f t="shared" si="2"/>
        <v>Factura N° 01-F020-00027840</v>
      </c>
      <c r="T41" s="149">
        <f t="shared" si="3"/>
        <v>406</v>
      </c>
    </row>
    <row r="42" spans="3:20" x14ac:dyDescent="0.25">
      <c r="C42" s="99" t="str">
        <v>IR-C3330</v>
      </c>
      <c r="D42" s="99" t="str">
        <v>RJQ00596</v>
      </c>
      <c r="E42" s="99" t="str">
        <v>10.72.8.203</v>
      </c>
      <c r="F42" s="99">
        <v>408</v>
      </c>
      <c r="G42" s="147">
        <v>51.681904761904761</v>
      </c>
      <c r="H42" s="149">
        <v>941231308</v>
      </c>
      <c r="L42" s="147">
        <f t="shared" si="0"/>
        <v>51.681904761904761</v>
      </c>
      <c r="M42" s="147">
        <f t="shared" si="1"/>
        <v>0</v>
      </c>
      <c r="Q42" s="153" t="str">
        <f>"FOTOCOPIAS POR ALQUILER EQUIPO MULTIFUNCIONAL DEL 01-"&amp;TEXT(MONTH($B$3),"00")&amp;"-"&amp;YEAR($B$3)&amp;" AL "&amp;TEXT(DAY($B$3),"00")&amp;"-"&amp;TEXT(MONTH($B$3),"00")&amp;"-"&amp;YEAR($B$3)</f>
        <v>FOTOCOPIAS POR ALQUILER EQUIPO MULTIFUNCIONAL DEL 01-03-2026 AL 31-03-2026</v>
      </c>
      <c r="S42" s="149" t="str">
        <f t="shared" si="2"/>
        <v>Factura N° 01-F020-00027840</v>
      </c>
      <c r="T42" s="149">
        <f t="shared" si="3"/>
        <v>408</v>
      </c>
    </row>
    <row r="43" spans="3:20" x14ac:dyDescent="0.25">
      <c r="C43" s="99" t="str">
        <v>IR-C3330</v>
      </c>
      <c r="D43" s="99" t="str">
        <v>RJQ00596</v>
      </c>
      <c r="E43" s="99" t="str">
        <v>10.72.8.203</v>
      </c>
      <c r="F43" s="99">
        <v>408</v>
      </c>
      <c r="G43" s="147">
        <v>-2.0712000000000006</v>
      </c>
      <c r="H43" s="149">
        <v>941231308</v>
      </c>
      <c r="L43" s="147">
        <f t="shared" si="0"/>
        <v>0</v>
      </c>
      <c r="M43" s="147">
        <f t="shared" si="1"/>
        <v>2.0712000000000006</v>
      </c>
      <c r="Q43" s="153" t="str">
        <f>"CONSUMO DE COPIAS "&amp;D43</f>
        <v>CONSUMO DE COPIAS RJQ00596</v>
      </c>
      <c r="S43" s="149" t="str">
        <f t="shared" si="2"/>
        <v>Factura N° 01-F020-00027840</v>
      </c>
      <c r="T43" s="149">
        <f t="shared" si="3"/>
        <v>408</v>
      </c>
    </row>
    <row r="44" spans="3:20" x14ac:dyDescent="0.25">
      <c r="L44" s="147">
        <f>SUM(L2:L43)</f>
        <v>3079.2039999999984</v>
      </c>
    </row>
    <row r="46" spans="3:20" x14ac:dyDescent="0.25">
      <c r="L46" s="147" t="e">
        <f>+#REF!</f>
        <v>#REF!</v>
      </c>
      <c r="M46" s="147" t="e">
        <f>+#REF!</f>
        <v>#REF!</v>
      </c>
    </row>
    <row r="47" spans="3:20" x14ac:dyDescent="0.25">
      <c r="L47" s="147" t="e">
        <f>+L46-L44</f>
        <v>#REF!</v>
      </c>
    </row>
  </sheetData>
  <pageMargins left="0.7" right="0.7" top="0.75" bottom="0.75" header="0.3" footer="0.3"/>
  <pageSetup paperSize="9" scale="3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A6B1-993E-40C4-B718-0609CF4E9824}">
  <sheetPr>
    <tabColor rgb="FF00B0F0"/>
  </sheetPr>
  <dimension ref="A1:Z97"/>
  <sheetViews>
    <sheetView showGridLines="0" tabSelected="1" zoomScaleNormal="100" workbookViewId="0">
      <pane ySplit="1" topLeftCell="A2" activePane="bottomLeft" state="frozen"/>
      <selection pane="bottomLeft" activeCell="A4" sqref="A4"/>
    </sheetView>
  </sheetViews>
  <sheetFormatPr baseColWidth="10" defaultRowHeight="15" x14ac:dyDescent="0.25"/>
  <cols>
    <col min="1" max="1" width="10.28515625" customWidth="1"/>
    <col min="2" max="2" width="6.5703125" bestFit="1" customWidth="1"/>
    <col min="3" max="3" width="15.5703125" bestFit="1" customWidth="1"/>
    <col min="4" max="4" width="11.28515625" bestFit="1" customWidth="1"/>
    <col min="6" max="6" width="34.5703125" bestFit="1" customWidth="1"/>
    <col min="7" max="8" width="10.85546875" style="99" bestFit="1" customWidth="1"/>
    <col min="9" max="9" width="9.28515625" style="99" bestFit="1" customWidth="1"/>
    <col min="10" max="10" width="9.42578125" style="99" bestFit="1" customWidth="1"/>
    <col min="11" max="11" width="10.85546875" style="99" bestFit="1" customWidth="1"/>
    <col min="12" max="13" width="10.85546875" style="99" customWidth="1"/>
    <col min="14" max="14" width="10.85546875" style="112" customWidth="1"/>
    <col min="15" max="15" width="10.85546875" style="99" bestFit="1" customWidth="1"/>
    <col min="16" max="16" width="10.85546875" style="112" bestFit="1" customWidth="1"/>
    <col min="17" max="19" width="10.85546875" style="112" customWidth="1"/>
    <col min="20" max="20" width="10.85546875" style="141" customWidth="1"/>
    <col min="22" max="22" width="7.140625" bestFit="1" customWidth="1"/>
    <col min="23" max="24" width="14.28515625" customWidth="1"/>
  </cols>
  <sheetData>
    <row r="1" spans="1:25" s="98" customFormat="1" ht="60.75" thickBot="1" x14ac:dyDescent="0.3">
      <c r="A1" s="156">
        <v>46112</v>
      </c>
      <c r="B1" s="107" t="s">
        <v>165</v>
      </c>
      <c r="C1" s="107" t="s">
        <v>166</v>
      </c>
      <c r="D1" s="107" t="s">
        <v>167</v>
      </c>
      <c r="E1" s="107" t="s">
        <v>168</v>
      </c>
      <c r="F1" s="107" t="s">
        <v>169</v>
      </c>
      <c r="G1" s="107" t="s">
        <v>170</v>
      </c>
      <c r="H1" s="107" t="s">
        <v>164</v>
      </c>
      <c r="I1" s="107" t="s">
        <v>230</v>
      </c>
      <c r="J1" s="107" t="s">
        <v>258</v>
      </c>
      <c r="K1" s="107" t="s">
        <v>259</v>
      </c>
      <c r="L1" s="107" t="s">
        <v>257</v>
      </c>
      <c r="M1" s="107" t="s">
        <v>260</v>
      </c>
      <c r="N1" s="109" t="s">
        <v>261</v>
      </c>
      <c r="O1" s="107" t="s">
        <v>229</v>
      </c>
      <c r="P1" s="109" t="s">
        <v>49</v>
      </c>
      <c r="Q1" s="130" t="s">
        <v>268</v>
      </c>
      <c r="R1" s="130"/>
      <c r="S1" s="130"/>
      <c r="T1" s="139" t="s">
        <v>269</v>
      </c>
      <c r="V1" s="107" t="s">
        <v>164</v>
      </c>
      <c r="W1" s="114" t="s">
        <v>230</v>
      </c>
      <c r="X1" s="114" t="s">
        <v>228</v>
      </c>
    </row>
    <row r="2" spans="1:25" ht="15.75" thickTop="1" x14ac:dyDescent="0.25">
      <c r="B2" s="159" t="s">
        <v>171</v>
      </c>
      <c r="C2" s="159" t="s">
        <v>232</v>
      </c>
      <c r="D2" s="159" t="s">
        <v>172</v>
      </c>
      <c r="E2" s="162" t="s">
        <v>173</v>
      </c>
      <c r="F2" s="159" t="s">
        <v>174</v>
      </c>
      <c r="G2" s="159">
        <v>1</v>
      </c>
      <c r="H2" s="157" t="s">
        <v>231</v>
      </c>
      <c r="I2" s="105" t="s">
        <v>88</v>
      </c>
      <c r="J2" s="105">
        <v>130708</v>
      </c>
      <c r="K2" s="105">
        <v>131063</v>
      </c>
      <c r="L2" s="105">
        <v>355</v>
      </c>
      <c r="M2" s="113">
        <v>188</v>
      </c>
      <c r="N2" s="110">
        <v>167</v>
      </c>
      <c r="O2" s="105">
        <v>1.6799999999999999E-2</v>
      </c>
      <c r="P2" s="110">
        <v>2.8056000000000001</v>
      </c>
      <c r="Q2" s="131">
        <v>51.681904761904804</v>
      </c>
      <c r="R2" s="133">
        <v>-2.0712000000000002</v>
      </c>
      <c r="S2">
        <v>941231308</v>
      </c>
      <c r="T2" s="140">
        <v>408</v>
      </c>
      <c r="U2" s="163">
        <v>1</v>
      </c>
      <c r="V2" s="115" t="s">
        <v>247</v>
      </c>
      <c r="W2" s="115" t="s">
        <v>88</v>
      </c>
      <c r="X2" s="115">
        <v>13000</v>
      </c>
    </row>
    <row r="3" spans="1:25" x14ac:dyDescent="0.25">
      <c r="B3" s="159"/>
      <c r="C3" s="159"/>
      <c r="D3" s="159"/>
      <c r="E3" s="159"/>
      <c r="F3" s="159"/>
      <c r="G3" s="159"/>
      <c r="H3" s="157"/>
      <c r="I3" s="103" t="s">
        <v>92</v>
      </c>
      <c r="J3" s="105">
        <v>6966</v>
      </c>
      <c r="K3" s="103">
        <v>6966</v>
      </c>
      <c r="L3" s="105">
        <v>0</v>
      </c>
      <c r="M3" s="105">
        <v>0</v>
      </c>
      <c r="N3" s="110">
        <v>0</v>
      </c>
      <c r="O3" s="103">
        <v>3.0099999999999998E-2</v>
      </c>
      <c r="P3" s="110">
        <v>0</v>
      </c>
      <c r="Q3" s="133"/>
      <c r="R3" s="133"/>
      <c r="S3" s="133"/>
      <c r="T3" s="140"/>
      <c r="U3" s="163"/>
      <c r="V3" s="115" t="s">
        <v>247</v>
      </c>
      <c r="W3" s="115" t="s">
        <v>92</v>
      </c>
      <c r="X3" s="115"/>
    </row>
    <row r="4" spans="1:25" x14ac:dyDescent="0.25">
      <c r="B4" s="159"/>
      <c r="C4" s="159"/>
      <c r="D4" s="159"/>
      <c r="E4" s="159"/>
      <c r="F4" s="159"/>
      <c r="G4" s="159"/>
      <c r="H4" s="157"/>
      <c r="I4" s="103" t="s">
        <v>95</v>
      </c>
      <c r="J4" s="105">
        <v>187880</v>
      </c>
      <c r="K4" s="103">
        <v>188332</v>
      </c>
      <c r="L4" s="105">
        <v>452</v>
      </c>
      <c r="M4" s="105">
        <v>563</v>
      </c>
      <c r="N4" s="110">
        <v>-111</v>
      </c>
      <c r="O4" s="103">
        <v>4.7199999999999999E-2</v>
      </c>
      <c r="P4" s="138">
        <v>-5.2392000000000003</v>
      </c>
      <c r="U4" s="163"/>
      <c r="V4" s="115" t="s">
        <v>247</v>
      </c>
      <c r="W4" s="115" t="s">
        <v>95</v>
      </c>
      <c r="X4" s="115"/>
    </row>
    <row r="5" spans="1:25" ht="15.75" thickBot="1" x14ac:dyDescent="0.3">
      <c r="B5" s="160"/>
      <c r="C5" s="160"/>
      <c r="D5" s="160"/>
      <c r="E5" s="160"/>
      <c r="F5" s="160"/>
      <c r="G5" s="160"/>
      <c r="H5" s="158"/>
      <c r="I5" s="106" t="s">
        <v>97</v>
      </c>
      <c r="J5" s="106">
        <v>6966</v>
      </c>
      <c r="K5" s="106">
        <v>6970</v>
      </c>
      <c r="L5" s="106">
        <v>4</v>
      </c>
      <c r="M5" s="106">
        <v>0</v>
      </c>
      <c r="N5" s="111">
        <v>4</v>
      </c>
      <c r="O5" s="106">
        <v>9.06E-2</v>
      </c>
      <c r="P5" s="111">
        <v>0.3624</v>
      </c>
      <c r="Q5" s="133"/>
      <c r="R5" s="133"/>
      <c r="S5" s="133"/>
      <c r="T5" s="140"/>
      <c r="U5" s="163"/>
      <c r="V5" s="116" t="s">
        <v>247</v>
      </c>
      <c r="W5" s="116" t="s">
        <v>97</v>
      </c>
      <c r="X5" s="116"/>
    </row>
    <row r="6" spans="1:25" ht="15.75" thickTop="1" x14ac:dyDescent="0.25">
      <c r="B6" s="159"/>
      <c r="C6" s="159" t="s">
        <v>248</v>
      </c>
      <c r="D6" s="159" t="s">
        <v>175</v>
      </c>
      <c r="E6" s="159" t="s">
        <v>176</v>
      </c>
      <c r="F6" s="159" t="s">
        <v>177</v>
      </c>
      <c r="G6" s="159">
        <v>1</v>
      </c>
      <c r="H6" s="157" t="s">
        <v>247</v>
      </c>
      <c r="I6" s="105" t="s">
        <v>88</v>
      </c>
      <c r="J6" s="105">
        <v>156715</v>
      </c>
      <c r="K6" s="105">
        <v>159127</v>
      </c>
      <c r="L6" s="105">
        <v>2412</v>
      </c>
      <c r="M6" s="113">
        <v>3250</v>
      </c>
      <c r="N6" s="110">
        <v>-838</v>
      </c>
      <c r="O6" s="105">
        <v>1.6799999999999999E-2</v>
      </c>
      <c r="P6" s="110">
        <v>-14.0784</v>
      </c>
      <c r="Q6" s="131">
        <v>51.681904761904804</v>
      </c>
      <c r="R6" s="133">
        <v>-14.0784</v>
      </c>
      <c r="S6">
        <v>941231308</v>
      </c>
      <c r="T6" s="140">
        <v>403</v>
      </c>
      <c r="U6" s="163">
        <v>2</v>
      </c>
      <c r="V6" s="117" t="s">
        <v>250</v>
      </c>
      <c r="W6" s="117" t="s">
        <v>88</v>
      </c>
      <c r="X6" s="117">
        <v>1504</v>
      </c>
      <c r="Y6">
        <v>8</v>
      </c>
    </row>
    <row r="7" spans="1:25" x14ac:dyDescent="0.25">
      <c r="B7" s="159"/>
      <c r="C7" s="159"/>
      <c r="D7" s="159"/>
      <c r="E7" s="159"/>
      <c r="F7" s="159"/>
      <c r="G7" s="159"/>
      <c r="H7" s="157"/>
      <c r="I7" s="105" t="s">
        <v>92</v>
      </c>
      <c r="J7" s="105">
        <v>0</v>
      </c>
      <c r="K7" s="105">
        <v>0</v>
      </c>
      <c r="L7" s="105">
        <v>0</v>
      </c>
      <c r="M7" s="105"/>
      <c r="N7" s="110">
        <v>0</v>
      </c>
      <c r="O7" s="105">
        <v>3.0099999999999998E-2</v>
      </c>
      <c r="P7" s="110">
        <v>0</v>
      </c>
      <c r="Q7" s="133"/>
      <c r="R7" s="133"/>
      <c r="S7" s="133"/>
      <c r="T7" s="140"/>
      <c r="U7" s="163"/>
      <c r="V7" s="115" t="s">
        <v>250</v>
      </c>
      <c r="W7" s="115" t="s">
        <v>92</v>
      </c>
      <c r="X7" s="115"/>
    </row>
    <row r="8" spans="1:25" x14ac:dyDescent="0.25">
      <c r="B8" s="159"/>
      <c r="C8" s="159"/>
      <c r="D8" s="159"/>
      <c r="E8" s="159"/>
      <c r="F8" s="159"/>
      <c r="G8" s="159"/>
      <c r="H8" s="157"/>
      <c r="I8" s="105" t="s">
        <v>95</v>
      </c>
      <c r="J8" s="105">
        <v>0</v>
      </c>
      <c r="K8" s="105">
        <v>0</v>
      </c>
      <c r="L8" s="105">
        <v>0</v>
      </c>
      <c r="M8" s="105"/>
      <c r="N8" s="110">
        <v>0</v>
      </c>
      <c r="O8" s="105">
        <v>4.7199999999999999E-2</v>
      </c>
      <c r="P8" s="110">
        <v>0</v>
      </c>
      <c r="U8" s="163"/>
      <c r="V8" s="115" t="s">
        <v>250</v>
      </c>
      <c r="W8" s="115" t="s">
        <v>95</v>
      </c>
      <c r="X8" s="115">
        <v>4504</v>
      </c>
      <c r="Y8">
        <v>188</v>
      </c>
    </row>
    <row r="9" spans="1:25" ht="15.75" thickBot="1" x14ac:dyDescent="0.3">
      <c r="B9" s="160"/>
      <c r="C9" s="160"/>
      <c r="D9" s="160"/>
      <c r="E9" s="160"/>
      <c r="F9" s="160"/>
      <c r="G9" s="160"/>
      <c r="H9" s="158"/>
      <c r="I9" s="106" t="s">
        <v>97</v>
      </c>
      <c r="J9" s="106">
        <v>0</v>
      </c>
      <c r="K9" s="106">
        <v>0</v>
      </c>
      <c r="L9" s="106">
        <v>0</v>
      </c>
      <c r="M9" s="106"/>
      <c r="N9" s="111">
        <v>0</v>
      </c>
      <c r="O9" s="106">
        <v>9.06E-2</v>
      </c>
      <c r="P9" s="111">
        <v>0</v>
      </c>
      <c r="Q9" s="133"/>
      <c r="R9" s="133"/>
      <c r="S9" s="133"/>
      <c r="T9" s="140"/>
      <c r="U9" s="163"/>
      <c r="V9" s="116" t="s">
        <v>250</v>
      </c>
      <c r="W9" s="116" t="s">
        <v>97</v>
      </c>
      <c r="X9" s="116"/>
    </row>
    <row r="10" spans="1:25" ht="15.75" thickTop="1" x14ac:dyDescent="0.25">
      <c r="B10" s="159"/>
      <c r="C10" s="159" t="s">
        <v>249</v>
      </c>
      <c r="D10" s="161" t="s">
        <v>178</v>
      </c>
      <c r="E10" s="159" t="s">
        <v>179</v>
      </c>
      <c r="F10" s="159" t="s">
        <v>180</v>
      </c>
      <c r="G10" s="159">
        <v>1</v>
      </c>
      <c r="H10" s="157" t="s">
        <v>247</v>
      </c>
      <c r="I10" s="105" t="s">
        <v>88</v>
      </c>
      <c r="J10" s="105">
        <v>36</v>
      </c>
      <c r="K10" s="105">
        <v>23904</v>
      </c>
      <c r="L10" s="105">
        <v>23868</v>
      </c>
      <c r="M10" s="113">
        <v>3250</v>
      </c>
      <c r="N10" s="110">
        <v>20618</v>
      </c>
      <c r="O10" s="105">
        <v>1.6799999999999999E-2</v>
      </c>
      <c r="P10" s="110">
        <v>346.38240000000002</v>
      </c>
      <c r="Q10" s="131">
        <v>51.681904761904804</v>
      </c>
      <c r="R10" s="133">
        <v>346.38240000000002</v>
      </c>
      <c r="S10">
        <v>931221108</v>
      </c>
      <c r="T10" s="140">
        <v>101</v>
      </c>
      <c r="U10" s="163">
        <v>1</v>
      </c>
      <c r="V10" s="115" t="s">
        <v>252</v>
      </c>
      <c r="W10" s="115" t="s">
        <v>88</v>
      </c>
      <c r="X10" s="115">
        <v>1128</v>
      </c>
    </row>
    <row r="11" spans="1:25" x14ac:dyDescent="0.25">
      <c r="B11" s="159"/>
      <c r="C11" s="159"/>
      <c r="D11" s="159"/>
      <c r="E11" s="159"/>
      <c r="F11" s="159"/>
      <c r="G11" s="159"/>
      <c r="H11" s="157"/>
      <c r="I11" s="105" t="s">
        <v>92</v>
      </c>
      <c r="J11" s="105">
        <v>0</v>
      </c>
      <c r="K11" s="105">
        <v>0</v>
      </c>
      <c r="L11" s="105">
        <v>0</v>
      </c>
      <c r="M11" s="105"/>
      <c r="N11" s="110">
        <v>0</v>
      </c>
      <c r="O11" s="105">
        <v>3.0099999999999998E-2</v>
      </c>
      <c r="P11" s="110">
        <v>0</v>
      </c>
      <c r="Q11" s="133"/>
      <c r="R11" s="133"/>
      <c r="S11" s="133"/>
      <c r="T11" s="140"/>
      <c r="U11" s="163"/>
      <c r="V11" s="115" t="s">
        <v>252</v>
      </c>
      <c r="W11" s="115" t="s">
        <v>92</v>
      </c>
      <c r="X11" s="115"/>
    </row>
    <row r="12" spans="1:25" x14ac:dyDescent="0.25">
      <c r="B12" s="159"/>
      <c r="C12" s="159"/>
      <c r="D12" s="159"/>
      <c r="E12" s="159"/>
      <c r="F12" s="159"/>
      <c r="G12" s="159"/>
      <c r="H12" s="157"/>
      <c r="I12" s="105" t="s">
        <v>95</v>
      </c>
      <c r="J12" s="105">
        <v>0</v>
      </c>
      <c r="K12" s="105">
        <v>0</v>
      </c>
      <c r="L12" s="105">
        <v>0</v>
      </c>
      <c r="M12" s="105"/>
      <c r="N12" s="110">
        <v>0</v>
      </c>
      <c r="O12" s="105">
        <v>4.7199999999999999E-2</v>
      </c>
      <c r="P12" s="110">
        <v>0</v>
      </c>
      <c r="U12" s="163"/>
      <c r="V12" s="115" t="s">
        <v>252</v>
      </c>
      <c r="W12" s="115" t="s">
        <v>95</v>
      </c>
      <c r="X12" s="115">
        <v>3378</v>
      </c>
    </row>
    <row r="13" spans="1:25" ht="15.75" thickBot="1" x14ac:dyDescent="0.3">
      <c r="B13" s="160"/>
      <c r="C13" s="160"/>
      <c r="D13" s="160"/>
      <c r="E13" s="160"/>
      <c r="F13" s="160"/>
      <c r="G13" s="160"/>
      <c r="H13" s="158"/>
      <c r="I13" s="106" t="s">
        <v>97</v>
      </c>
      <c r="J13" s="106">
        <v>0</v>
      </c>
      <c r="K13" s="106">
        <v>0</v>
      </c>
      <c r="L13" s="106">
        <v>0</v>
      </c>
      <c r="M13" s="106"/>
      <c r="N13" s="111">
        <v>0</v>
      </c>
      <c r="O13" s="106">
        <v>9.06E-2</v>
      </c>
      <c r="P13" s="111">
        <v>0</v>
      </c>
      <c r="Q13" s="133"/>
      <c r="R13" s="133"/>
      <c r="S13" s="133"/>
      <c r="T13" s="140"/>
      <c r="U13" s="163"/>
      <c r="V13" s="116" t="s">
        <v>252</v>
      </c>
      <c r="W13" s="116" t="s">
        <v>97</v>
      </c>
      <c r="X13" s="116"/>
    </row>
    <row r="14" spans="1:25" ht="15.75" thickTop="1" x14ac:dyDescent="0.25">
      <c r="B14" s="159"/>
      <c r="C14" s="159" t="s">
        <v>249</v>
      </c>
      <c r="D14" s="161" t="s">
        <v>181</v>
      </c>
      <c r="E14" s="159" t="s">
        <v>182</v>
      </c>
      <c r="F14" s="159" t="s">
        <v>180</v>
      </c>
      <c r="G14" s="159">
        <v>1</v>
      </c>
      <c r="H14" s="157" t="s">
        <v>247</v>
      </c>
      <c r="I14" s="105" t="s">
        <v>88</v>
      </c>
      <c r="J14" s="105">
        <v>6528</v>
      </c>
      <c r="K14" s="105">
        <v>14888</v>
      </c>
      <c r="L14" s="105">
        <v>8360</v>
      </c>
      <c r="M14" s="113">
        <v>3250</v>
      </c>
      <c r="N14" s="110">
        <v>5110</v>
      </c>
      <c r="O14" s="105">
        <v>1.6799999999999999E-2</v>
      </c>
      <c r="P14" s="110">
        <v>85.847999999999999</v>
      </c>
      <c r="Q14" s="131">
        <v>51.681904761904804</v>
      </c>
      <c r="R14" s="133">
        <v>85.847999999999999</v>
      </c>
      <c r="S14">
        <v>931221108</v>
      </c>
      <c r="T14" s="140">
        <v>101</v>
      </c>
      <c r="U14" s="163">
        <v>1</v>
      </c>
      <c r="V14" s="115" t="s">
        <v>255</v>
      </c>
      <c r="W14" s="115" t="s">
        <v>88</v>
      </c>
      <c r="X14" s="115">
        <v>188</v>
      </c>
    </row>
    <row r="15" spans="1:25" x14ac:dyDescent="0.25">
      <c r="B15" s="159"/>
      <c r="C15" s="159"/>
      <c r="D15" s="159"/>
      <c r="E15" s="159"/>
      <c r="F15" s="159"/>
      <c r="G15" s="159"/>
      <c r="H15" s="157"/>
      <c r="I15" s="105" t="s">
        <v>92</v>
      </c>
      <c r="J15" s="105">
        <v>0</v>
      </c>
      <c r="K15" s="105">
        <v>0</v>
      </c>
      <c r="L15" s="105">
        <v>0</v>
      </c>
      <c r="M15" s="105"/>
      <c r="N15" s="110">
        <v>0</v>
      </c>
      <c r="O15" s="105">
        <v>3.0099999999999998E-2</v>
      </c>
      <c r="P15" s="110">
        <v>0</v>
      </c>
      <c r="Q15" s="133"/>
      <c r="R15" s="133"/>
      <c r="S15" s="133"/>
      <c r="T15" s="140"/>
      <c r="U15" s="163"/>
      <c r="V15" s="115" t="s">
        <v>255</v>
      </c>
      <c r="W15" s="115" t="s">
        <v>92</v>
      </c>
      <c r="X15" s="115"/>
    </row>
    <row r="16" spans="1:25" x14ac:dyDescent="0.25">
      <c r="B16" s="159"/>
      <c r="C16" s="159"/>
      <c r="D16" s="159"/>
      <c r="E16" s="159"/>
      <c r="F16" s="159"/>
      <c r="G16" s="159"/>
      <c r="H16" s="157"/>
      <c r="I16" s="105" t="s">
        <v>95</v>
      </c>
      <c r="J16" s="105">
        <v>0</v>
      </c>
      <c r="K16" s="105">
        <v>0</v>
      </c>
      <c r="L16" s="105">
        <v>0</v>
      </c>
      <c r="M16" s="105"/>
      <c r="N16" s="110">
        <v>0</v>
      </c>
      <c r="O16" s="105">
        <v>4.7199999999999999E-2</v>
      </c>
      <c r="P16" s="110">
        <v>0</v>
      </c>
      <c r="U16" s="163"/>
      <c r="V16" s="115" t="s">
        <v>255</v>
      </c>
      <c r="W16" s="115" t="s">
        <v>95</v>
      </c>
      <c r="X16" s="115">
        <v>563</v>
      </c>
    </row>
    <row r="17" spans="2:24" ht="15.75" thickBot="1" x14ac:dyDescent="0.3">
      <c r="B17" s="160"/>
      <c r="C17" s="160"/>
      <c r="D17" s="160"/>
      <c r="E17" s="160"/>
      <c r="F17" s="160"/>
      <c r="G17" s="160"/>
      <c r="H17" s="158"/>
      <c r="I17" s="106" t="s">
        <v>97</v>
      </c>
      <c r="J17" s="106">
        <v>0</v>
      </c>
      <c r="K17" s="106">
        <v>0</v>
      </c>
      <c r="L17" s="106">
        <v>0</v>
      </c>
      <c r="M17" s="106"/>
      <c r="N17" s="111">
        <v>0</v>
      </c>
      <c r="O17" s="106">
        <v>9.06E-2</v>
      </c>
      <c r="P17" s="111">
        <v>0</v>
      </c>
      <c r="Q17" s="133"/>
      <c r="R17" s="133"/>
      <c r="S17" s="133"/>
      <c r="T17" s="140"/>
      <c r="U17" s="163"/>
      <c r="V17" s="116" t="s">
        <v>255</v>
      </c>
      <c r="W17" s="116" t="s">
        <v>97</v>
      </c>
      <c r="X17" s="116"/>
    </row>
    <row r="18" spans="2:24" ht="15.75" thickTop="1" x14ac:dyDescent="0.25">
      <c r="B18" s="159" t="s">
        <v>183</v>
      </c>
      <c r="C18" s="159" t="s">
        <v>251</v>
      </c>
      <c r="D18" s="161" t="s">
        <v>184</v>
      </c>
      <c r="E18" s="159" t="s">
        <v>185</v>
      </c>
      <c r="F18" s="159" t="s">
        <v>186</v>
      </c>
      <c r="G18" s="159">
        <v>1</v>
      </c>
      <c r="H18" s="157" t="s">
        <v>250</v>
      </c>
      <c r="I18" s="105" t="s">
        <v>88</v>
      </c>
      <c r="J18" s="105">
        <v>83734</v>
      </c>
      <c r="K18" s="105">
        <v>84608</v>
      </c>
      <c r="L18" s="105">
        <v>874</v>
      </c>
      <c r="M18" s="113">
        <v>188</v>
      </c>
      <c r="N18" s="110">
        <v>686</v>
      </c>
      <c r="O18" s="105">
        <v>1.6799999999999999E-2</v>
      </c>
      <c r="P18" s="110">
        <v>11.524800000000001</v>
      </c>
      <c r="Q18" s="131">
        <v>51.681904761904804</v>
      </c>
      <c r="R18" s="133">
        <v>174.17599999999999</v>
      </c>
      <c r="S18">
        <v>932341308</v>
      </c>
      <c r="T18" s="140">
        <v>207</v>
      </c>
      <c r="U18" s="163">
        <v>2</v>
      </c>
      <c r="V18" s="115" t="s">
        <v>231</v>
      </c>
      <c r="W18" s="115" t="s">
        <v>88</v>
      </c>
      <c r="X18" s="115">
        <v>188</v>
      </c>
    </row>
    <row r="19" spans="2:24" x14ac:dyDescent="0.25">
      <c r="B19" s="159"/>
      <c r="C19" s="159"/>
      <c r="D19" s="159"/>
      <c r="E19" s="159"/>
      <c r="F19" s="159"/>
      <c r="G19" s="159"/>
      <c r="H19" s="157"/>
      <c r="I19" s="105" t="s">
        <v>92</v>
      </c>
      <c r="J19" s="105">
        <v>0</v>
      </c>
      <c r="K19" s="105">
        <v>0</v>
      </c>
      <c r="L19" s="105">
        <v>0</v>
      </c>
      <c r="M19" s="105"/>
      <c r="N19" s="110">
        <v>0</v>
      </c>
      <c r="O19" s="105">
        <v>3.0099999999999998E-2</v>
      </c>
      <c r="P19" s="110">
        <v>0</v>
      </c>
      <c r="Q19" s="133"/>
      <c r="R19" s="133"/>
      <c r="S19" s="133"/>
      <c r="T19" s="140"/>
      <c r="U19" s="163"/>
      <c r="V19" s="115" t="s">
        <v>231</v>
      </c>
      <c r="W19" s="115" t="s">
        <v>92</v>
      </c>
      <c r="X19" s="115"/>
    </row>
    <row r="20" spans="2:24" x14ac:dyDescent="0.25">
      <c r="B20" s="159"/>
      <c r="C20" s="159"/>
      <c r="D20" s="159"/>
      <c r="E20" s="159"/>
      <c r="F20" s="159"/>
      <c r="G20" s="159"/>
      <c r="H20" s="157"/>
      <c r="I20" s="105" t="s">
        <v>95</v>
      </c>
      <c r="J20" s="105">
        <v>21349</v>
      </c>
      <c r="K20" s="105">
        <v>25358</v>
      </c>
      <c r="L20" s="105">
        <v>4009</v>
      </c>
      <c r="M20" s="113">
        <v>563</v>
      </c>
      <c r="N20" s="110">
        <v>3446</v>
      </c>
      <c r="O20" s="105">
        <v>4.7199999999999999E-2</v>
      </c>
      <c r="P20" s="110">
        <v>162.65119999999999</v>
      </c>
      <c r="U20" s="163"/>
      <c r="V20" s="115" t="s">
        <v>231</v>
      </c>
      <c r="W20" s="115" t="s">
        <v>95</v>
      </c>
      <c r="X20" s="115">
        <v>563</v>
      </c>
    </row>
    <row r="21" spans="2:24" ht="15.75" thickBot="1" x14ac:dyDescent="0.3">
      <c r="B21" s="160"/>
      <c r="C21" s="160"/>
      <c r="D21" s="160"/>
      <c r="E21" s="160"/>
      <c r="F21" s="160"/>
      <c r="G21" s="160"/>
      <c r="H21" s="158"/>
      <c r="I21" s="106" t="s">
        <v>97</v>
      </c>
      <c r="J21" s="106">
        <v>0</v>
      </c>
      <c r="K21" s="106">
        <v>0</v>
      </c>
      <c r="L21" s="106">
        <v>0</v>
      </c>
      <c r="M21" s="106"/>
      <c r="N21" s="111">
        <v>0</v>
      </c>
      <c r="O21" s="106">
        <v>9.06E-2</v>
      </c>
      <c r="P21" s="111">
        <v>0</v>
      </c>
      <c r="Q21" s="133"/>
      <c r="R21" s="133"/>
      <c r="S21" s="133"/>
      <c r="T21" s="140"/>
      <c r="U21" s="163"/>
      <c r="V21" s="116" t="s">
        <v>231</v>
      </c>
      <c r="W21" s="116" t="s">
        <v>97</v>
      </c>
      <c r="X21" s="116"/>
    </row>
    <row r="22" spans="2:24" ht="15.75" thickTop="1" x14ac:dyDescent="0.25">
      <c r="B22" s="159"/>
      <c r="C22" s="159" t="s">
        <v>251</v>
      </c>
      <c r="D22" s="161" t="s">
        <v>3</v>
      </c>
      <c r="E22" s="159" t="s">
        <v>187</v>
      </c>
      <c r="F22" s="159" t="s">
        <v>188</v>
      </c>
      <c r="G22" s="159">
        <v>1</v>
      </c>
      <c r="H22" s="157" t="s">
        <v>250</v>
      </c>
      <c r="I22" s="105" t="s">
        <v>88</v>
      </c>
      <c r="J22" s="105">
        <v>15527</v>
      </c>
      <c r="K22" s="105">
        <v>15992</v>
      </c>
      <c r="L22" s="105">
        <v>465</v>
      </c>
      <c r="M22" s="113">
        <v>188</v>
      </c>
      <c r="N22" s="110">
        <v>277</v>
      </c>
      <c r="O22" s="105">
        <v>1.6799999999999999E-2</v>
      </c>
      <c r="P22" s="110">
        <v>4.6536</v>
      </c>
      <c r="Q22" s="131">
        <v>51.681904761904804</v>
      </c>
      <c r="R22" s="133">
        <v>17.0672</v>
      </c>
      <c r="S22">
        <v>943331308</v>
      </c>
      <c r="T22" s="140">
        <v>406</v>
      </c>
      <c r="U22" s="163">
        <v>2</v>
      </c>
    </row>
    <row r="23" spans="2:24" x14ac:dyDescent="0.25">
      <c r="B23" s="159"/>
      <c r="C23" s="159"/>
      <c r="D23" s="159"/>
      <c r="E23" s="159"/>
      <c r="F23" s="159"/>
      <c r="G23" s="159"/>
      <c r="H23" s="157"/>
      <c r="I23" s="105" t="s">
        <v>92</v>
      </c>
      <c r="J23" s="105">
        <v>0</v>
      </c>
      <c r="K23" s="105">
        <v>0</v>
      </c>
      <c r="L23" s="105">
        <v>0</v>
      </c>
      <c r="M23" s="105"/>
      <c r="N23" s="110">
        <v>0</v>
      </c>
      <c r="O23" s="105">
        <v>3.0099999999999998E-2</v>
      </c>
      <c r="P23" s="110">
        <v>0</v>
      </c>
      <c r="Q23" s="133"/>
      <c r="R23" s="133"/>
      <c r="S23" s="133"/>
      <c r="T23" s="140"/>
      <c r="U23" s="163"/>
    </row>
    <row r="24" spans="2:24" x14ac:dyDescent="0.25">
      <c r="B24" s="159"/>
      <c r="C24" s="159"/>
      <c r="D24" s="159"/>
      <c r="E24" s="159"/>
      <c r="F24" s="159"/>
      <c r="G24" s="159"/>
      <c r="H24" s="157"/>
      <c r="I24" s="105" t="s">
        <v>95</v>
      </c>
      <c r="J24" s="105">
        <v>14379</v>
      </c>
      <c r="K24" s="105">
        <v>15205</v>
      </c>
      <c r="L24" s="105">
        <v>826</v>
      </c>
      <c r="M24" s="113">
        <v>563</v>
      </c>
      <c r="N24" s="110">
        <v>263</v>
      </c>
      <c r="O24" s="105">
        <v>4.7199999999999999E-2</v>
      </c>
      <c r="P24" s="110">
        <v>12.413600000000001</v>
      </c>
      <c r="U24" s="163"/>
    </row>
    <row r="25" spans="2:24" ht="15.75" thickBot="1" x14ac:dyDescent="0.3">
      <c r="B25" s="160"/>
      <c r="C25" s="160"/>
      <c r="D25" s="160"/>
      <c r="E25" s="160"/>
      <c r="F25" s="160"/>
      <c r="G25" s="160"/>
      <c r="H25" s="158"/>
      <c r="I25" s="106" t="s">
        <v>97</v>
      </c>
      <c r="J25" s="106">
        <v>0</v>
      </c>
      <c r="K25" s="106">
        <v>0</v>
      </c>
      <c r="L25" s="106">
        <v>0</v>
      </c>
      <c r="M25" s="106"/>
      <c r="N25" s="111">
        <v>0</v>
      </c>
      <c r="O25" s="106">
        <v>9.06E-2</v>
      </c>
      <c r="P25" s="111">
        <v>0</v>
      </c>
      <c r="Q25" s="133"/>
      <c r="R25" s="133"/>
      <c r="S25" s="133"/>
      <c r="T25" s="140"/>
      <c r="U25" s="163"/>
    </row>
    <row r="26" spans="2:24" ht="15.75" thickTop="1" x14ac:dyDescent="0.25">
      <c r="B26" s="159"/>
      <c r="C26" s="159" t="s">
        <v>251</v>
      </c>
      <c r="D26" s="161" t="s">
        <v>32</v>
      </c>
      <c r="E26" s="159" t="s">
        <v>189</v>
      </c>
      <c r="F26" s="159" t="s">
        <v>190</v>
      </c>
      <c r="G26" s="159">
        <v>1</v>
      </c>
      <c r="H26" s="157" t="s">
        <v>250</v>
      </c>
      <c r="I26" s="105" t="s">
        <v>88</v>
      </c>
      <c r="J26" s="105">
        <v>83188</v>
      </c>
      <c r="K26" s="105">
        <v>83943</v>
      </c>
      <c r="L26" s="105">
        <v>755</v>
      </c>
      <c r="M26" s="113">
        <v>188</v>
      </c>
      <c r="N26" s="110">
        <v>567</v>
      </c>
      <c r="O26" s="105">
        <v>1.6799999999999999E-2</v>
      </c>
      <c r="P26" s="110">
        <v>9.5256000000000007</v>
      </c>
      <c r="Q26" s="131">
        <v>51.681904761904804</v>
      </c>
      <c r="R26" s="133">
        <v>81.977599999999995</v>
      </c>
      <c r="S26">
        <v>932341308</v>
      </c>
      <c r="T26" s="140">
        <v>206</v>
      </c>
      <c r="U26" s="163">
        <v>2</v>
      </c>
    </row>
    <row r="27" spans="2:24" x14ac:dyDescent="0.25">
      <c r="B27" s="159"/>
      <c r="C27" s="159"/>
      <c r="D27" s="159"/>
      <c r="E27" s="159"/>
      <c r="F27" s="159"/>
      <c r="G27" s="159"/>
      <c r="H27" s="157"/>
      <c r="I27" s="105" t="s">
        <v>92</v>
      </c>
      <c r="J27" s="105">
        <v>0</v>
      </c>
      <c r="K27" s="105">
        <v>0</v>
      </c>
      <c r="L27" s="105">
        <v>0</v>
      </c>
      <c r="M27" s="105"/>
      <c r="N27" s="110">
        <v>0</v>
      </c>
      <c r="O27" s="105">
        <v>3.0099999999999998E-2</v>
      </c>
      <c r="P27" s="110">
        <v>0</v>
      </c>
      <c r="Q27" s="133"/>
      <c r="R27" s="133"/>
      <c r="S27" s="133"/>
      <c r="T27" s="140"/>
      <c r="U27" s="163"/>
      <c r="W27" t="s">
        <v>87</v>
      </c>
    </row>
    <row r="28" spans="2:24" x14ac:dyDescent="0.25">
      <c r="B28" s="159"/>
      <c r="C28" s="159"/>
      <c r="D28" s="159"/>
      <c r="E28" s="159"/>
      <c r="F28" s="159"/>
      <c r="G28" s="159"/>
      <c r="H28" s="157"/>
      <c r="I28" s="105" t="s">
        <v>95</v>
      </c>
      <c r="J28" s="105">
        <v>18110</v>
      </c>
      <c r="K28" s="105">
        <v>20208</v>
      </c>
      <c r="L28" s="105">
        <v>2098</v>
      </c>
      <c r="M28" s="113">
        <v>563</v>
      </c>
      <c r="N28" s="110">
        <v>1535</v>
      </c>
      <c r="O28" s="105">
        <v>4.7199999999999999E-2</v>
      </c>
      <c r="P28" s="110">
        <v>72.451999999999998</v>
      </c>
      <c r="U28" s="163"/>
      <c r="W28" t="s">
        <v>297</v>
      </c>
    </row>
    <row r="29" spans="2:24" ht="15.75" thickBot="1" x14ac:dyDescent="0.3">
      <c r="B29" s="160"/>
      <c r="C29" s="160"/>
      <c r="D29" s="160"/>
      <c r="E29" s="160"/>
      <c r="F29" s="160"/>
      <c r="G29" s="160"/>
      <c r="H29" s="158"/>
      <c r="I29" s="106" t="s">
        <v>97</v>
      </c>
      <c r="J29" s="106">
        <v>0</v>
      </c>
      <c r="K29" s="106">
        <v>0</v>
      </c>
      <c r="L29" s="106">
        <v>0</v>
      </c>
      <c r="M29" s="106"/>
      <c r="N29" s="111">
        <v>0</v>
      </c>
      <c r="O29" s="106">
        <v>9.06E-2</v>
      </c>
      <c r="P29" s="111">
        <v>0</v>
      </c>
      <c r="Q29" s="133"/>
      <c r="R29" s="133"/>
      <c r="S29" s="133"/>
      <c r="T29" s="140"/>
      <c r="U29" s="163"/>
    </row>
    <row r="30" spans="2:24" ht="15.75" thickTop="1" x14ac:dyDescent="0.25">
      <c r="B30" s="159"/>
      <c r="C30" s="159" t="s">
        <v>251</v>
      </c>
      <c r="D30" s="161" t="s">
        <v>11</v>
      </c>
      <c r="E30" s="164" t="s">
        <v>191</v>
      </c>
      <c r="F30" s="164" t="s">
        <v>192</v>
      </c>
      <c r="G30" s="164">
        <v>1</v>
      </c>
      <c r="H30" s="166"/>
      <c r="I30" s="119" t="s">
        <v>88</v>
      </c>
      <c r="J30" s="119">
        <v>13075</v>
      </c>
      <c r="K30" s="119">
        <v>20147</v>
      </c>
      <c r="L30" s="119">
        <v>7072</v>
      </c>
      <c r="M30" s="120"/>
      <c r="N30" s="121"/>
      <c r="O30" s="119">
        <v>1.6799999999999999E-2</v>
      </c>
      <c r="P30" s="121">
        <v>118.8096</v>
      </c>
      <c r="Q30" s="131">
        <v>51.681904761904804</v>
      </c>
      <c r="R30" s="133">
        <v>437.36239999999998</v>
      </c>
      <c r="S30">
        <v>932341308</v>
      </c>
      <c r="T30" s="140">
        <v>200</v>
      </c>
      <c r="U30" s="104"/>
      <c r="W30" t="b">
        <v>0</v>
      </c>
    </row>
    <row r="31" spans="2:24" x14ac:dyDescent="0.25">
      <c r="B31" s="159"/>
      <c r="C31" s="159"/>
      <c r="D31" s="159"/>
      <c r="E31" s="164"/>
      <c r="F31" s="164"/>
      <c r="G31" s="164"/>
      <c r="H31" s="166"/>
      <c r="I31" s="119" t="s">
        <v>92</v>
      </c>
      <c r="J31" s="119">
        <v>0</v>
      </c>
      <c r="K31" s="119">
        <v>0</v>
      </c>
      <c r="L31" s="119">
        <v>0</v>
      </c>
      <c r="M31" s="119"/>
      <c r="N31" s="121">
        <v>0</v>
      </c>
      <c r="O31" s="119">
        <v>3.0099999999999998E-2</v>
      </c>
      <c r="P31" s="121">
        <v>0</v>
      </c>
      <c r="Q31" s="132"/>
      <c r="R31" s="132"/>
      <c r="S31" s="132"/>
      <c r="T31" s="142"/>
      <c r="U31" s="104"/>
    </row>
    <row r="32" spans="2:24" x14ac:dyDescent="0.25">
      <c r="B32" s="159"/>
      <c r="C32" s="159"/>
      <c r="D32" s="159"/>
      <c r="E32" s="164"/>
      <c r="F32" s="164"/>
      <c r="G32" s="164"/>
      <c r="H32" s="166"/>
      <c r="I32" s="119" t="s">
        <v>95</v>
      </c>
      <c r="J32" s="119">
        <v>6457</v>
      </c>
      <c r="K32" s="119">
        <v>13206</v>
      </c>
      <c r="L32" s="119">
        <v>6749</v>
      </c>
      <c r="M32" s="120"/>
      <c r="N32" s="121"/>
      <c r="O32" s="119">
        <v>4.7199999999999999E-2</v>
      </c>
      <c r="P32" s="121">
        <v>318.55279999999999</v>
      </c>
      <c r="U32" s="104"/>
    </row>
    <row r="33" spans="2:21" ht="15.75" thickBot="1" x14ac:dyDescent="0.3">
      <c r="B33" s="160"/>
      <c r="C33" s="160"/>
      <c r="D33" s="160"/>
      <c r="E33" s="165"/>
      <c r="F33" s="165"/>
      <c r="G33" s="165"/>
      <c r="H33" s="167"/>
      <c r="I33" s="122" t="s">
        <v>97</v>
      </c>
      <c r="J33" s="122">
        <v>0</v>
      </c>
      <c r="K33" s="122">
        <v>0</v>
      </c>
      <c r="L33" s="122">
        <v>0</v>
      </c>
      <c r="M33" s="122"/>
      <c r="N33" s="123">
        <v>0</v>
      </c>
      <c r="O33" s="122">
        <v>9.06E-2</v>
      </c>
      <c r="P33" s="123">
        <v>0</v>
      </c>
      <c r="Q33" s="132"/>
      <c r="R33" s="132"/>
      <c r="S33" s="132"/>
      <c r="T33" s="142"/>
      <c r="U33" s="104"/>
    </row>
    <row r="34" spans="2:21" ht="15.75" thickTop="1" x14ac:dyDescent="0.25">
      <c r="B34" s="159"/>
      <c r="C34" s="159" t="s">
        <v>251</v>
      </c>
      <c r="D34" s="161" t="s">
        <v>14</v>
      </c>
      <c r="E34" s="159" t="s">
        <v>193</v>
      </c>
      <c r="F34" s="159" t="s">
        <v>194</v>
      </c>
      <c r="G34" s="159">
        <v>1</v>
      </c>
      <c r="H34" s="157" t="s">
        <v>250</v>
      </c>
      <c r="I34" s="105" t="s">
        <v>88</v>
      </c>
      <c r="J34" s="105">
        <v>9497</v>
      </c>
      <c r="K34" s="105">
        <v>9830</v>
      </c>
      <c r="L34" s="105">
        <v>333</v>
      </c>
      <c r="M34" s="113">
        <v>188</v>
      </c>
      <c r="N34" s="110">
        <v>145</v>
      </c>
      <c r="O34" s="105">
        <v>1.6799999999999999E-2</v>
      </c>
      <c r="P34" s="110">
        <v>2.4359999999999999</v>
      </c>
      <c r="Q34" s="131">
        <v>51.681904761904804</v>
      </c>
      <c r="R34" s="133">
        <v>1.8695999999999999</v>
      </c>
      <c r="S34">
        <v>932341308</v>
      </c>
      <c r="T34" s="140">
        <v>204</v>
      </c>
    </row>
    <row r="35" spans="2:21" x14ac:dyDescent="0.25">
      <c r="B35" s="159"/>
      <c r="C35" s="159"/>
      <c r="D35" s="159"/>
      <c r="E35" s="159"/>
      <c r="F35" s="159"/>
      <c r="G35" s="159"/>
      <c r="H35" s="157"/>
      <c r="I35" s="105" t="s">
        <v>92</v>
      </c>
      <c r="J35" s="105">
        <v>0</v>
      </c>
      <c r="K35" s="105">
        <v>0</v>
      </c>
      <c r="L35" s="105">
        <v>0</v>
      </c>
      <c r="M35" s="105"/>
      <c r="N35" s="110">
        <v>0</v>
      </c>
      <c r="O35" s="105">
        <v>3.0099999999999998E-2</v>
      </c>
      <c r="P35" s="110">
        <v>0</v>
      </c>
      <c r="Q35" s="133"/>
      <c r="R35" s="133"/>
      <c r="S35" s="133"/>
      <c r="T35" s="140"/>
    </row>
    <row r="36" spans="2:21" x14ac:dyDescent="0.25">
      <c r="B36" s="159"/>
      <c r="C36" s="159"/>
      <c r="D36" s="159"/>
      <c r="E36" s="159"/>
      <c r="F36" s="159"/>
      <c r="G36" s="159"/>
      <c r="H36" s="157"/>
      <c r="I36" s="105" t="s">
        <v>95</v>
      </c>
      <c r="J36" s="105">
        <v>4511</v>
      </c>
      <c r="K36" s="105">
        <v>5062</v>
      </c>
      <c r="L36" s="105">
        <v>551</v>
      </c>
      <c r="M36" s="113">
        <v>563</v>
      </c>
      <c r="N36" s="110">
        <v>-12</v>
      </c>
      <c r="O36" s="105">
        <v>4.7199999999999999E-2</v>
      </c>
      <c r="P36" s="110">
        <v>-0.56640000000000001</v>
      </c>
    </row>
    <row r="37" spans="2:21" ht="15.75" thickBot="1" x14ac:dyDescent="0.3">
      <c r="B37" s="160"/>
      <c r="C37" s="160"/>
      <c r="D37" s="160"/>
      <c r="E37" s="160"/>
      <c r="F37" s="160"/>
      <c r="G37" s="160"/>
      <c r="H37" s="158"/>
      <c r="I37" s="106" t="s">
        <v>97</v>
      </c>
      <c r="J37" s="106">
        <v>0</v>
      </c>
      <c r="K37" s="106">
        <v>0</v>
      </c>
      <c r="L37" s="106">
        <v>0</v>
      </c>
      <c r="M37" s="106"/>
      <c r="N37" s="111">
        <v>0</v>
      </c>
      <c r="O37" s="106">
        <v>9.06E-2</v>
      </c>
      <c r="P37" s="111">
        <v>0</v>
      </c>
      <c r="Q37" s="133"/>
      <c r="R37" s="133"/>
      <c r="S37" s="133"/>
      <c r="T37" s="140"/>
    </row>
    <row r="38" spans="2:21" ht="15.75" thickTop="1" x14ac:dyDescent="0.25">
      <c r="B38" s="159"/>
      <c r="C38" s="159" t="s">
        <v>251</v>
      </c>
      <c r="D38" s="161" t="s">
        <v>20</v>
      </c>
      <c r="E38" s="159" t="s">
        <v>195</v>
      </c>
      <c r="F38" s="159" t="s">
        <v>196</v>
      </c>
      <c r="G38" s="159">
        <v>1</v>
      </c>
      <c r="H38" s="157" t="s">
        <v>250</v>
      </c>
      <c r="I38" s="105" t="s">
        <v>88</v>
      </c>
      <c r="J38" s="105">
        <v>85135</v>
      </c>
      <c r="K38" s="105">
        <v>88863</v>
      </c>
      <c r="L38" s="105">
        <v>3728</v>
      </c>
      <c r="M38" s="113">
        <v>188</v>
      </c>
      <c r="N38" s="110">
        <v>3540</v>
      </c>
      <c r="O38" s="105">
        <v>1.6799999999999999E-2</v>
      </c>
      <c r="P38" s="110">
        <v>59.472000000000001</v>
      </c>
      <c r="Q38" s="131">
        <v>51.681904761904804</v>
      </c>
      <c r="R38" s="133">
        <v>55.46</v>
      </c>
      <c r="S38">
        <v>933441108</v>
      </c>
      <c r="T38" s="140">
        <v>304</v>
      </c>
    </row>
    <row r="39" spans="2:21" x14ac:dyDescent="0.25">
      <c r="B39" s="159"/>
      <c r="C39" s="159"/>
      <c r="D39" s="159"/>
      <c r="E39" s="159"/>
      <c r="F39" s="159"/>
      <c r="G39" s="159"/>
      <c r="H39" s="157"/>
      <c r="I39" s="105" t="s">
        <v>92</v>
      </c>
      <c r="J39" s="105">
        <v>0</v>
      </c>
      <c r="K39" s="105">
        <v>0</v>
      </c>
      <c r="L39" s="105">
        <v>0</v>
      </c>
      <c r="M39" s="105"/>
      <c r="N39" s="110">
        <v>0</v>
      </c>
      <c r="O39" s="105">
        <v>3.0099999999999998E-2</v>
      </c>
      <c r="P39" s="110">
        <v>0</v>
      </c>
    </row>
    <row r="40" spans="2:21" x14ac:dyDescent="0.25">
      <c r="B40" s="159"/>
      <c r="C40" s="159"/>
      <c r="D40" s="159"/>
      <c r="E40" s="159"/>
      <c r="F40" s="159"/>
      <c r="G40" s="159"/>
      <c r="H40" s="157"/>
      <c r="I40" s="105" t="s">
        <v>95</v>
      </c>
      <c r="J40" s="105">
        <v>9094</v>
      </c>
      <c r="K40" s="105">
        <v>9572</v>
      </c>
      <c r="L40" s="105">
        <v>478</v>
      </c>
      <c r="M40" s="113">
        <v>563</v>
      </c>
      <c r="N40" s="110">
        <v>-85</v>
      </c>
      <c r="O40" s="105">
        <v>4.7199999999999999E-2</v>
      </c>
      <c r="P40" s="110">
        <v>-4.0119999999999996</v>
      </c>
      <c r="Q40" s="133"/>
      <c r="R40" s="133"/>
      <c r="S40" s="133"/>
      <c r="T40" s="140"/>
    </row>
    <row r="41" spans="2:21" ht="15.75" thickBot="1" x14ac:dyDescent="0.3">
      <c r="B41" s="160"/>
      <c r="C41" s="160"/>
      <c r="D41" s="160"/>
      <c r="E41" s="160"/>
      <c r="F41" s="160"/>
      <c r="G41" s="160"/>
      <c r="H41" s="158"/>
      <c r="I41" s="106" t="s">
        <v>97</v>
      </c>
      <c r="J41" s="106">
        <v>0</v>
      </c>
      <c r="K41" s="106">
        <v>0</v>
      </c>
      <c r="L41" s="106">
        <v>0</v>
      </c>
      <c r="M41" s="106"/>
      <c r="N41" s="111">
        <v>0</v>
      </c>
      <c r="O41" s="106">
        <v>9.06E-2</v>
      </c>
      <c r="P41" s="111">
        <v>0</v>
      </c>
      <c r="Q41" s="133"/>
      <c r="R41" s="133"/>
      <c r="S41" s="133"/>
      <c r="T41" s="140"/>
    </row>
    <row r="42" spans="2:21" ht="15.75" thickTop="1" x14ac:dyDescent="0.25">
      <c r="B42" s="159"/>
      <c r="C42" s="159" t="s">
        <v>251</v>
      </c>
      <c r="D42" s="161" t="s">
        <v>27</v>
      </c>
      <c r="E42" s="159" t="s">
        <v>197</v>
      </c>
      <c r="F42" s="159" t="s">
        <v>198</v>
      </c>
      <c r="G42" s="159">
        <v>1</v>
      </c>
      <c r="H42" s="157" t="s">
        <v>250</v>
      </c>
      <c r="I42" s="105" t="s">
        <v>88</v>
      </c>
      <c r="J42" s="105">
        <v>129700</v>
      </c>
      <c r="K42" s="105">
        <v>131931</v>
      </c>
      <c r="L42" s="105">
        <v>2231</v>
      </c>
      <c r="M42" s="113">
        <v>188</v>
      </c>
      <c r="N42" s="110">
        <v>2043</v>
      </c>
      <c r="O42" s="105">
        <v>1.6799999999999999E-2</v>
      </c>
      <c r="P42" s="110">
        <v>34.322400000000002</v>
      </c>
      <c r="Q42" s="131">
        <v>51.681904761904804</v>
      </c>
      <c r="R42" s="133">
        <v>44.706400000000002</v>
      </c>
      <c r="S42">
        <v>931221108</v>
      </c>
      <c r="T42" s="140">
        <v>101</v>
      </c>
      <c r="U42">
        <v>-7072</v>
      </c>
    </row>
    <row r="43" spans="2:21" x14ac:dyDescent="0.25">
      <c r="B43" s="159"/>
      <c r="C43" s="159"/>
      <c r="D43" s="159"/>
      <c r="E43" s="159"/>
      <c r="F43" s="159"/>
      <c r="G43" s="159"/>
      <c r="H43" s="157"/>
      <c r="I43" s="105" t="s">
        <v>92</v>
      </c>
      <c r="J43" s="105">
        <v>0</v>
      </c>
      <c r="K43" s="105">
        <v>0</v>
      </c>
      <c r="L43" s="105">
        <v>0</v>
      </c>
      <c r="M43" s="105"/>
      <c r="N43" s="110">
        <v>0</v>
      </c>
      <c r="O43" s="105">
        <v>3.0099999999999998E-2</v>
      </c>
      <c r="P43" s="110">
        <v>0</v>
      </c>
    </row>
    <row r="44" spans="2:21" x14ac:dyDescent="0.25">
      <c r="B44" s="159"/>
      <c r="C44" s="159"/>
      <c r="D44" s="159"/>
      <c r="E44" s="159"/>
      <c r="F44" s="159"/>
      <c r="G44" s="159"/>
      <c r="H44" s="157"/>
      <c r="I44" s="105" t="s">
        <v>95</v>
      </c>
      <c r="J44" s="105">
        <v>23452</v>
      </c>
      <c r="K44" s="105">
        <v>24235</v>
      </c>
      <c r="L44" s="105">
        <v>783</v>
      </c>
      <c r="M44" s="113">
        <v>563</v>
      </c>
      <c r="N44" s="110">
        <v>220</v>
      </c>
      <c r="O44" s="105">
        <v>4.7199999999999999E-2</v>
      </c>
      <c r="P44" s="110">
        <v>10.384</v>
      </c>
      <c r="Q44" s="133"/>
      <c r="R44" s="133"/>
      <c r="S44" s="133"/>
      <c r="T44" s="140"/>
    </row>
    <row r="45" spans="2:21" ht="15.75" thickBot="1" x14ac:dyDescent="0.3">
      <c r="B45" s="160"/>
      <c r="C45" s="160"/>
      <c r="D45" s="160"/>
      <c r="E45" s="160"/>
      <c r="F45" s="160"/>
      <c r="G45" s="160"/>
      <c r="H45" s="158"/>
      <c r="I45" s="106" t="s">
        <v>97</v>
      </c>
      <c r="J45" s="106">
        <v>0</v>
      </c>
      <c r="K45" s="106">
        <v>0</v>
      </c>
      <c r="L45" s="106">
        <v>0</v>
      </c>
      <c r="M45" s="106"/>
      <c r="N45" s="111">
        <v>0</v>
      </c>
      <c r="O45" s="106">
        <v>9.06E-2</v>
      </c>
      <c r="P45" s="111">
        <v>0</v>
      </c>
      <c r="Q45" s="133"/>
      <c r="R45" s="133"/>
      <c r="S45" s="133"/>
      <c r="T45" s="140"/>
    </row>
    <row r="46" spans="2:21" ht="15.75" thickTop="1" x14ac:dyDescent="0.25">
      <c r="B46" s="159"/>
      <c r="C46" s="159" t="s">
        <v>251</v>
      </c>
      <c r="D46" s="161" t="s">
        <v>5</v>
      </c>
      <c r="E46" s="159" t="s">
        <v>199</v>
      </c>
      <c r="F46" s="159" t="s">
        <v>200</v>
      </c>
      <c r="G46" s="159">
        <v>1</v>
      </c>
      <c r="H46" s="157" t="s">
        <v>250</v>
      </c>
      <c r="I46" s="105" t="s">
        <v>88</v>
      </c>
      <c r="J46" s="105">
        <v>30199</v>
      </c>
      <c r="K46" s="105">
        <v>30545</v>
      </c>
      <c r="L46" s="105">
        <v>346</v>
      </c>
      <c r="M46" s="113">
        <v>188</v>
      </c>
      <c r="N46" s="110">
        <v>158</v>
      </c>
      <c r="O46" s="105">
        <v>1.6799999999999999E-2</v>
      </c>
      <c r="P46" s="110">
        <v>2.6543999999999999</v>
      </c>
      <c r="Q46" s="131">
        <v>51.681904761904804</v>
      </c>
      <c r="R46" s="133">
        <v>-13.912800000000001</v>
      </c>
      <c r="S46">
        <v>941231308</v>
      </c>
      <c r="T46" s="140">
        <v>402</v>
      </c>
    </row>
    <row r="47" spans="2:21" x14ac:dyDescent="0.25">
      <c r="B47" s="159"/>
      <c r="C47" s="159"/>
      <c r="D47" s="159"/>
      <c r="E47" s="159"/>
      <c r="F47" s="159"/>
      <c r="G47" s="159"/>
      <c r="H47" s="157"/>
      <c r="I47" s="105" t="s">
        <v>92</v>
      </c>
      <c r="J47" s="105">
        <v>0</v>
      </c>
      <c r="K47" s="105">
        <v>0</v>
      </c>
      <c r="L47" s="105">
        <v>0</v>
      </c>
      <c r="M47" s="105"/>
      <c r="N47" s="110">
        <v>0</v>
      </c>
      <c r="O47" s="105">
        <v>3.0099999999999998E-2</v>
      </c>
      <c r="P47" s="110">
        <v>0</v>
      </c>
      <c r="Q47" s="133"/>
      <c r="R47" s="133"/>
      <c r="S47" s="133"/>
      <c r="T47" s="140"/>
    </row>
    <row r="48" spans="2:21" x14ac:dyDescent="0.25">
      <c r="B48" s="159"/>
      <c r="C48" s="159"/>
      <c r="D48" s="159"/>
      <c r="E48" s="159"/>
      <c r="F48" s="159"/>
      <c r="G48" s="159"/>
      <c r="H48" s="157"/>
      <c r="I48" s="105" t="s">
        <v>95</v>
      </c>
      <c r="J48" s="105">
        <v>34833</v>
      </c>
      <c r="K48" s="105">
        <v>35045</v>
      </c>
      <c r="L48" s="105">
        <v>212</v>
      </c>
      <c r="M48" s="113">
        <v>563</v>
      </c>
      <c r="N48" s="110">
        <v>-351</v>
      </c>
      <c r="O48" s="105">
        <v>4.7199999999999999E-2</v>
      </c>
      <c r="P48" s="110">
        <v>-16.5672</v>
      </c>
    </row>
    <row r="49" spans="2:20" ht="15.75" thickBot="1" x14ac:dyDescent="0.3">
      <c r="B49" s="160"/>
      <c r="C49" s="160"/>
      <c r="D49" s="160"/>
      <c r="E49" s="160"/>
      <c r="F49" s="160"/>
      <c r="G49" s="160"/>
      <c r="H49" s="158"/>
      <c r="I49" s="106" t="s">
        <v>97</v>
      </c>
      <c r="J49" s="106">
        <v>0</v>
      </c>
      <c r="K49" s="106">
        <v>0</v>
      </c>
      <c r="L49" s="106">
        <v>0</v>
      </c>
      <c r="M49" s="106"/>
      <c r="N49" s="111">
        <v>0</v>
      </c>
      <c r="O49" s="106">
        <v>9.06E-2</v>
      </c>
      <c r="P49" s="111">
        <v>0</v>
      </c>
      <c r="Q49" s="133"/>
      <c r="R49" s="133"/>
      <c r="S49" s="133"/>
      <c r="T49" s="140"/>
    </row>
    <row r="50" spans="2:20" ht="15.75" thickTop="1" x14ac:dyDescent="0.25">
      <c r="B50" s="159"/>
      <c r="C50" s="159" t="s">
        <v>251</v>
      </c>
      <c r="D50" s="161" t="s">
        <v>201</v>
      </c>
      <c r="E50" s="159" t="s">
        <v>202</v>
      </c>
      <c r="F50" s="159" t="s">
        <v>203</v>
      </c>
      <c r="G50" s="159">
        <v>1</v>
      </c>
      <c r="H50" s="157" t="s">
        <v>250</v>
      </c>
      <c r="I50" s="105" t="s">
        <v>88</v>
      </c>
      <c r="J50" s="105">
        <v>58830</v>
      </c>
      <c r="K50" s="105">
        <v>59665</v>
      </c>
      <c r="L50" s="105">
        <v>835</v>
      </c>
      <c r="M50" s="113">
        <v>188</v>
      </c>
      <c r="N50" s="110">
        <v>647</v>
      </c>
      <c r="O50" s="105">
        <v>1.6799999999999999E-2</v>
      </c>
      <c r="P50" s="110">
        <v>10.8696</v>
      </c>
      <c r="Q50" s="131">
        <v>51.681904761904804</v>
      </c>
      <c r="R50" s="133">
        <v>7.5655999999999999</v>
      </c>
      <c r="S50">
        <v>932341308</v>
      </c>
      <c r="T50" s="140">
        <v>200</v>
      </c>
    </row>
    <row r="51" spans="2:20" x14ac:dyDescent="0.25">
      <c r="B51" s="159"/>
      <c r="C51" s="159"/>
      <c r="D51" s="159"/>
      <c r="E51" s="159"/>
      <c r="F51" s="159"/>
      <c r="G51" s="159"/>
      <c r="H51" s="157"/>
      <c r="I51" s="105" t="s">
        <v>92</v>
      </c>
      <c r="J51" s="105">
        <v>0</v>
      </c>
      <c r="K51" s="105">
        <v>0</v>
      </c>
      <c r="L51" s="105">
        <v>0</v>
      </c>
      <c r="M51" s="105"/>
      <c r="N51" s="110">
        <v>0</v>
      </c>
      <c r="O51" s="105">
        <v>3.0099999999999998E-2</v>
      </c>
      <c r="P51" s="110">
        <v>0</v>
      </c>
    </row>
    <row r="52" spans="2:20" x14ac:dyDescent="0.25">
      <c r="B52" s="159"/>
      <c r="C52" s="159"/>
      <c r="D52" s="159"/>
      <c r="E52" s="159"/>
      <c r="F52" s="159"/>
      <c r="G52" s="159"/>
      <c r="H52" s="157"/>
      <c r="I52" s="105" t="s">
        <v>95</v>
      </c>
      <c r="J52" s="105">
        <v>35550</v>
      </c>
      <c r="K52" s="105">
        <v>36043</v>
      </c>
      <c r="L52" s="105">
        <v>493</v>
      </c>
      <c r="M52" s="113">
        <v>563</v>
      </c>
      <c r="N52" s="110">
        <v>-70</v>
      </c>
      <c r="O52" s="105">
        <v>4.7199999999999999E-2</v>
      </c>
      <c r="P52" s="110">
        <v>-3.3039999999999998</v>
      </c>
      <c r="Q52" s="133"/>
      <c r="R52" s="133"/>
      <c r="S52" s="133"/>
      <c r="T52" s="140"/>
    </row>
    <row r="53" spans="2:20" ht="15.75" thickBot="1" x14ac:dyDescent="0.3">
      <c r="B53" s="160"/>
      <c r="C53" s="160"/>
      <c r="D53" s="160"/>
      <c r="E53" s="160"/>
      <c r="F53" s="160"/>
      <c r="G53" s="160"/>
      <c r="H53" s="158"/>
      <c r="I53" s="106" t="s">
        <v>97</v>
      </c>
      <c r="J53" s="106">
        <v>0</v>
      </c>
      <c r="K53" s="106">
        <v>0</v>
      </c>
      <c r="L53" s="106">
        <v>0</v>
      </c>
      <c r="M53" s="106"/>
      <c r="N53" s="111">
        <v>0</v>
      </c>
      <c r="O53" s="106">
        <v>9.06E-2</v>
      </c>
      <c r="P53" s="111">
        <v>0</v>
      </c>
      <c r="Q53" s="133"/>
      <c r="R53" s="133"/>
      <c r="S53" s="133"/>
      <c r="T53" s="140"/>
    </row>
    <row r="54" spans="2:20" ht="15.75" thickTop="1" x14ac:dyDescent="0.25">
      <c r="B54" s="159"/>
      <c r="C54" s="162" t="s">
        <v>253</v>
      </c>
      <c r="D54" s="161" t="s">
        <v>204</v>
      </c>
      <c r="E54" s="159" t="s">
        <v>205</v>
      </c>
      <c r="F54" s="159" t="s">
        <v>206</v>
      </c>
      <c r="G54" s="159">
        <v>1</v>
      </c>
      <c r="H54" s="157" t="s">
        <v>252</v>
      </c>
      <c r="I54" s="105" t="s">
        <v>88</v>
      </c>
      <c r="J54" s="105">
        <v>6445</v>
      </c>
      <c r="K54" s="105">
        <v>7222</v>
      </c>
      <c r="L54" s="105">
        <v>777</v>
      </c>
      <c r="M54" s="113">
        <v>188</v>
      </c>
      <c r="N54" s="110">
        <v>589</v>
      </c>
      <c r="O54" s="105">
        <v>1.6799999999999999E-2</v>
      </c>
      <c r="P54" s="110">
        <v>9.8952000000000009</v>
      </c>
      <c r="Q54" s="131">
        <v>51.681904761904804</v>
      </c>
      <c r="R54" s="133">
        <v>192.65360000000001</v>
      </c>
      <c r="S54">
        <v>931221108</v>
      </c>
      <c r="T54" s="140">
        <v>102</v>
      </c>
    </row>
    <row r="55" spans="2:20" x14ac:dyDescent="0.25">
      <c r="B55" s="159"/>
      <c r="C55" s="159"/>
      <c r="D55" s="159"/>
      <c r="E55" s="159"/>
      <c r="F55" s="159"/>
      <c r="G55" s="159"/>
      <c r="H55" s="157"/>
      <c r="I55" s="105" t="s">
        <v>92</v>
      </c>
      <c r="J55" s="105">
        <v>0</v>
      </c>
      <c r="K55" s="105">
        <v>0</v>
      </c>
      <c r="L55" s="105">
        <v>0</v>
      </c>
      <c r="M55" s="105"/>
      <c r="N55" s="110">
        <v>0</v>
      </c>
      <c r="O55" s="105">
        <v>3.0099999999999998E-2</v>
      </c>
      <c r="P55" s="110">
        <v>0</v>
      </c>
    </row>
    <row r="56" spans="2:20" x14ac:dyDescent="0.25">
      <c r="B56" s="159"/>
      <c r="C56" s="159"/>
      <c r="D56" s="159"/>
      <c r="E56" s="159"/>
      <c r="F56" s="159"/>
      <c r="G56" s="159"/>
      <c r="H56" s="157"/>
      <c r="I56" s="105" t="s">
        <v>95</v>
      </c>
      <c r="J56" s="105">
        <v>24340</v>
      </c>
      <c r="K56" s="105">
        <v>28775</v>
      </c>
      <c r="L56" s="105">
        <v>4435</v>
      </c>
      <c r="M56" s="113">
        <v>563</v>
      </c>
      <c r="N56" s="110">
        <v>3872</v>
      </c>
      <c r="O56" s="105">
        <v>4.7199999999999999E-2</v>
      </c>
      <c r="P56" s="110">
        <v>182.75839999999999</v>
      </c>
      <c r="Q56" s="133"/>
      <c r="R56" s="133"/>
      <c r="S56" s="133"/>
      <c r="T56" s="140"/>
    </row>
    <row r="57" spans="2:20" ht="15.75" thickBot="1" x14ac:dyDescent="0.3">
      <c r="B57" s="160"/>
      <c r="C57" s="160"/>
      <c r="D57" s="160"/>
      <c r="E57" s="160"/>
      <c r="F57" s="160"/>
      <c r="G57" s="160"/>
      <c r="H57" s="158"/>
      <c r="I57" s="106" t="s">
        <v>97</v>
      </c>
      <c r="J57" s="106">
        <v>0</v>
      </c>
      <c r="K57" s="106">
        <v>0</v>
      </c>
      <c r="L57" s="106">
        <v>0</v>
      </c>
      <c r="M57" s="106"/>
      <c r="N57" s="111">
        <v>0</v>
      </c>
      <c r="O57" s="106">
        <v>9.06E-2</v>
      </c>
      <c r="P57" s="111">
        <v>0</v>
      </c>
      <c r="Q57" s="133"/>
      <c r="R57" s="133"/>
      <c r="S57" s="133"/>
      <c r="T57" s="140"/>
    </row>
    <row r="58" spans="2:20" ht="15.75" thickTop="1" x14ac:dyDescent="0.25">
      <c r="B58" s="159"/>
      <c r="C58" s="162" t="s">
        <v>253</v>
      </c>
      <c r="D58" s="161" t="s">
        <v>207</v>
      </c>
      <c r="E58" s="159" t="s">
        <v>208</v>
      </c>
      <c r="F58" s="159" t="s">
        <v>209</v>
      </c>
      <c r="G58" s="159">
        <v>1</v>
      </c>
      <c r="H58" s="157" t="s">
        <v>252</v>
      </c>
      <c r="I58" s="105" t="s">
        <v>88</v>
      </c>
      <c r="J58" s="105">
        <v>28313</v>
      </c>
      <c r="K58" s="105">
        <v>28834</v>
      </c>
      <c r="L58" s="105">
        <v>521</v>
      </c>
      <c r="M58" s="113">
        <v>188</v>
      </c>
      <c r="N58" s="110">
        <v>333</v>
      </c>
      <c r="O58" s="105">
        <v>1.6799999999999999E-2</v>
      </c>
      <c r="P58" s="110">
        <v>5.5944000000000003</v>
      </c>
      <c r="Q58" s="131">
        <v>51.681904761904804</v>
      </c>
      <c r="R58" s="133">
        <v>41.796799999999998</v>
      </c>
      <c r="S58">
        <v>941231308</v>
      </c>
      <c r="T58" s="140">
        <v>403</v>
      </c>
    </row>
    <row r="59" spans="2:20" x14ac:dyDescent="0.25">
      <c r="B59" s="159"/>
      <c r="C59" s="159"/>
      <c r="D59" s="159"/>
      <c r="E59" s="159"/>
      <c r="F59" s="159"/>
      <c r="G59" s="159"/>
      <c r="H59" s="157"/>
      <c r="I59" s="105" t="s">
        <v>92</v>
      </c>
      <c r="J59" s="105">
        <v>0</v>
      </c>
      <c r="K59" s="105">
        <v>0</v>
      </c>
      <c r="L59" s="105">
        <v>0</v>
      </c>
      <c r="M59" s="105"/>
      <c r="N59" s="110">
        <v>0</v>
      </c>
      <c r="O59" s="105">
        <v>3.0099999999999998E-2</v>
      </c>
      <c r="P59" s="110">
        <v>0</v>
      </c>
    </row>
    <row r="60" spans="2:20" x14ac:dyDescent="0.25">
      <c r="B60" s="159"/>
      <c r="C60" s="159"/>
      <c r="D60" s="159"/>
      <c r="E60" s="159"/>
      <c r="F60" s="159"/>
      <c r="G60" s="159"/>
      <c r="H60" s="157"/>
      <c r="I60" s="105" t="s">
        <v>95</v>
      </c>
      <c r="J60" s="105">
        <v>34374</v>
      </c>
      <c r="K60" s="105">
        <v>35704</v>
      </c>
      <c r="L60" s="105">
        <v>1330</v>
      </c>
      <c r="M60" s="113">
        <v>563</v>
      </c>
      <c r="N60" s="110">
        <v>767</v>
      </c>
      <c r="O60" s="105">
        <v>4.7199999999999999E-2</v>
      </c>
      <c r="P60" s="110">
        <v>36.202399999999997</v>
      </c>
      <c r="Q60" s="133"/>
      <c r="R60" s="133"/>
      <c r="S60" s="133"/>
      <c r="T60" s="140"/>
    </row>
    <row r="61" spans="2:20" ht="15.75" thickBot="1" x14ac:dyDescent="0.3">
      <c r="B61" s="160"/>
      <c r="C61" s="160"/>
      <c r="D61" s="160"/>
      <c r="E61" s="160"/>
      <c r="F61" s="160"/>
      <c r="G61" s="160"/>
      <c r="H61" s="158"/>
      <c r="I61" s="106" t="s">
        <v>97</v>
      </c>
      <c r="J61" s="106">
        <v>0</v>
      </c>
      <c r="K61" s="106">
        <v>0</v>
      </c>
      <c r="L61" s="106">
        <v>0</v>
      </c>
      <c r="M61" s="106"/>
      <c r="N61" s="111">
        <v>0</v>
      </c>
      <c r="O61" s="106">
        <v>9.06E-2</v>
      </c>
      <c r="P61" s="111">
        <v>0</v>
      </c>
      <c r="Q61" s="133"/>
      <c r="R61" s="133"/>
      <c r="S61" s="133"/>
      <c r="T61" s="140"/>
    </row>
    <row r="62" spans="2:20" ht="15.75" thickTop="1" x14ac:dyDescent="0.25">
      <c r="B62" s="159"/>
      <c r="C62" s="162" t="s">
        <v>253</v>
      </c>
      <c r="D62" s="161" t="s">
        <v>210</v>
      </c>
      <c r="E62" s="159" t="s">
        <v>211</v>
      </c>
      <c r="F62" s="159" t="s">
        <v>212</v>
      </c>
      <c r="G62" s="159">
        <v>1</v>
      </c>
      <c r="H62" s="157" t="s">
        <v>252</v>
      </c>
      <c r="I62" s="105" t="s">
        <v>88</v>
      </c>
      <c r="J62" s="105">
        <v>3603</v>
      </c>
      <c r="K62" s="105">
        <v>4044</v>
      </c>
      <c r="L62" s="105">
        <v>441</v>
      </c>
      <c r="M62" s="113">
        <v>188</v>
      </c>
      <c r="N62" s="110">
        <v>253</v>
      </c>
      <c r="O62" s="105">
        <v>1.6799999999999999E-2</v>
      </c>
      <c r="P62" s="110">
        <v>4.2504</v>
      </c>
      <c r="Q62" s="131">
        <v>51.681904761904804</v>
      </c>
      <c r="R62" s="133">
        <v>-1.3191999999999999</v>
      </c>
      <c r="S62">
        <v>931221108</v>
      </c>
      <c r="T62" s="140">
        <v>103</v>
      </c>
    </row>
    <row r="63" spans="2:20" x14ac:dyDescent="0.25">
      <c r="B63" s="159"/>
      <c r="C63" s="159"/>
      <c r="D63" s="159"/>
      <c r="E63" s="159"/>
      <c r="F63" s="159"/>
      <c r="G63" s="159"/>
      <c r="H63" s="157"/>
      <c r="I63" s="105" t="s">
        <v>92</v>
      </c>
      <c r="J63" s="105">
        <v>0</v>
      </c>
      <c r="K63" s="105">
        <v>0</v>
      </c>
      <c r="L63" s="105">
        <v>0</v>
      </c>
      <c r="M63" s="105"/>
      <c r="N63" s="110">
        <v>0</v>
      </c>
      <c r="O63" s="105">
        <v>3.0099999999999998E-2</v>
      </c>
      <c r="P63" s="110">
        <v>0</v>
      </c>
    </row>
    <row r="64" spans="2:20" x14ac:dyDescent="0.25">
      <c r="B64" s="159"/>
      <c r="C64" s="159"/>
      <c r="D64" s="159"/>
      <c r="E64" s="159"/>
      <c r="F64" s="159"/>
      <c r="G64" s="159"/>
      <c r="H64" s="157"/>
      <c r="I64" s="105" t="s">
        <v>95</v>
      </c>
      <c r="J64" s="105">
        <v>3848</v>
      </c>
      <c r="K64" s="105">
        <v>4293</v>
      </c>
      <c r="L64" s="105">
        <v>445</v>
      </c>
      <c r="M64" s="113">
        <v>563</v>
      </c>
      <c r="N64" s="110">
        <v>-118</v>
      </c>
      <c r="O64" s="105">
        <v>4.7199999999999999E-2</v>
      </c>
      <c r="P64" s="110">
        <v>-5.5696000000000003</v>
      </c>
      <c r="Q64" s="133"/>
      <c r="R64" s="133"/>
      <c r="S64" s="133"/>
      <c r="T64" s="140"/>
    </row>
    <row r="65" spans="2:21" ht="15.75" thickBot="1" x14ac:dyDescent="0.3">
      <c r="B65" s="160"/>
      <c r="C65" s="160"/>
      <c r="D65" s="160"/>
      <c r="E65" s="160"/>
      <c r="F65" s="160"/>
      <c r="G65" s="160"/>
      <c r="H65" s="158"/>
      <c r="I65" s="106" t="s">
        <v>97</v>
      </c>
      <c r="J65" s="106">
        <v>0</v>
      </c>
      <c r="K65" s="106">
        <v>0</v>
      </c>
      <c r="L65" s="106">
        <v>0</v>
      </c>
      <c r="M65" s="106"/>
      <c r="N65" s="111">
        <v>0</v>
      </c>
      <c r="O65" s="106">
        <v>9.06E-2</v>
      </c>
      <c r="P65" s="111">
        <v>0</v>
      </c>
      <c r="Q65" s="133"/>
      <c r="R65" s="133"/>
      <c r="S65" s="133"/>
      <c r="T65" s="140"/>
    </row>
    <row r="66" spans="2:21" ht="15.75" thickTop="1" x14ac:dyDescent="0.25">
      <c r="B66" s="159"/>
      <c r="C66" s="162" t="s">
        <v>253</v>
      </c>
      <c r="D66" s="161" t="s">
        <v>213</v>
      </c>
      <c r="E66" s="159" t="s">
        <v>214</v>
      </c>
      <c r="F66" s="159" t="s">
        <v>215</v>
      </c>
      <c r="G66" s="159">
        <v>1</v>
      </c>
      <c r="H66" s="157" t="s">
        <v>252</v>
      </c>
      <c r="I66" s="105" t="s">
        <v>88</v>
      </c>
      <c r="J66" s="105">
        <v>4141</v>
      </c>
      <c r="K66" s="105">
        <v>4785</v>
      </c>
      <c r="L66" s="105">
        <v>644</v>
      </c>
      <c r="M66" s="113">
        <v>188</v>
      </c>
      <c r="N66" s="110">
        <v>456</v>
      </c>
      <c r="O66" s="105">
        <v>1.6799999999999999E-2</v>
      </c>
      <c r="P66" s="110">
        <v>7.6608000000000001</v>
      </c>
      <c r="Q66" s="131">
        <v>51.681904761904804</v>
      </c>
      <c r="R66" s="133">
        <v>167.14959999999999</v>
      </c>
      <c r="S66">
        <v>932341308</v>
      </c>
      <c r="T66" s="140">
        <v>200</v>
      </c>
      <c r="U66" s="163">
        <v>1</v>
      </c>
    </row>
    <row r="67" spans="2:21" x14ac:dyDescent="0.25">
      <c r="B67" s="159"/>
      <c r="C67" s="159"/>
      <c r="D67" s="159"/>
      <c r="E67" s="159"/>
      <c r="F67" s="159"/>
      <c r="G67" s="159"/>
      <c r="H67" s="157"/>
      <c r="I67" s="105" t="s">
        <v>92</v>
      </c>
      <c r="J67" s="105">
        <v>0</v>
      </c>
      <c r="K67" s="105">
        <v>0</v>
      </c>
      <c r="L67" s="105">
        <v>0</v>
      </c>
      <c r="M67" s="105"/>
      <c r="N67" s="110">
        <v>0</v>
      </c>
      <c r="O67" s="105">
        <v>3.0099999999999998E-2</v>
      </c>
      <c r="P67" s="110">
        <v>0</v>
      </c>
      <c r="U67" s="163"/>
    </row>
    <row r="68" spans="2:21" x14ac:dyDescent="0.25">
      <c r="B68" s="159"/>
      <c r="C68" s="159"/>
      <c r="D68" s="159"/>
      <c r="E68" s="159"/>
      <c r="F68" s="159"/>
      <c r="G68" s="159"/>
      <c r="H68" s="157"/>
      <c r="I68" s="105" t="s">
        <v>95</v>
      </c>
      <c r="J68" s="105">
        <v>23586</v>
      </c>
      <c r="K68" s="105">
        <v>27528</v>
      </c>
      <c r="L68" s="105">
        <v>3942</v>
      </c>
      <c r="M68" s="113">
        <v>563</v>
      </c>
      <c r="N68" s="110">
        <v>3379</v>
      </c>
      <c r="O68" s="105">
        <v>4.7199999999999999E-2</v>
      </c>
      <c r="P68" s="110">
        <v>159.4888</v>
      </c>
      <c r="Q68" s="133"/>
      <c r="R68" s="133"/>
      <c r="S68" s="133"/>
      <c r="T68" s="140"/>
      <c r="U68" s="163"/>
    </row>
    <row r="69" spans="2:21" ht="15.75" thickBot="1" x14ac:dyDescent="0.3">
      <c r="B69" s="160"/>
      <c r="C69" s="160"/>
      <c r="D69" s="160"/>
      <c r="E69" s="160"/>
      <c r="F69" s="160"/>
      <c r="G69" s="160"/>
      <c r="H69" s="158"/>
      <c r="I69" s="106" t="s">
        <v>97</v>
      </c>
      <c r="J69" s="106">
        <v>0</v>
      </c>
      <c r="K69" s="106">
        <v>0</v>
      </c>
      <c r="L69" s="106">
        <v>0</v>
      </c>
      <c r="M69" s="106"/>
      <c r="N69" s="111">
        <v>0</v>
      </c>
      <c r="O69" s="106">
        <v>9.06E-2</v>
      </c>
      <c r="P69" s="111">
        <v>0</v>
      </c>
      <c r="Q69" s="131"/>
      <c r="R69" s="133"/>
      <c r="S69"/>
      <c r="T69" s="140"/>
      <c r="U69" s="163"/>
    </row>
    <row r="70" spans="2:21" ht="15.75" thickTop="1" x14ac:dyDescent="0.25">
      <c r="B70" s="159"/>
      <c r="C70" s="162" t="s">
        <v>253</v>
      </c>
      <c r="D70" s="161" t="s">
        <v>216</v>
      </c>
      <c r="E70" s="159" t="s">
        <v>217</v>
      </c>
      <c r="F70" s="159" t="s">
        <v>218</v>
      </c>
      <c r="G70" s="159">
        <v>1</v>
      </c>
      <c r="H70" s="157" t="s">
        <v>252</v>
      </c>
      <c r="I70" s="105" t="s">
        <v>88</v>
      </c>
      <c r="J70" s="105">
        <v>1638</v>
      </c>
      <c r="K70" s="105">
        <v>2080</v>
      </c>
      <c r="L70" s="105">
        <v>442</v>
      </c>
      <c r="M70" s="113">
        <v>188</v>
      </c>
      <c r="N70" s="110">
        <v>254</v>
      </c>
      <c r="O70" s="105">
        <v>1.6799999999999999E-2</v>
      </c>
      <c r="P70" s="110">
        <v>4.2671999999999999</v>
      </c>
      <c r="Q70" s="131">
        <v>51.681904761904804</v>
      </c>
      <c r="R70" s="133">
        <v>8.8455999999999992</v>
      </c>
      <c r="S70">
        <v>941231308</v>
      </c>
      <c r="T70" s="140">
        <v>401</v>
      </c>
    </row>
    <row r="71" spans="2:21" x14ac:dyDescent="0.25">
      <c r="B71" s="159"/>
      <c r="C71" s="159"/>
      <c r="D71" s="159"/>
      <c r="E71" s="159"/>
      <c r="F71" s="159"/>
      <c r="G71" s="159"/>
      <c r="H71" s="157"/>
      <c r="I71" s="105" t="s">
        <v>92</v>
      </c>
      <c r="J71" s="105">
        <v>0</v>
      </c>
      <c r="K71" s="105">
        <v>0</v>
      </c>
      <c r="L71" s="105">
        <v>0</v>
      </c>
      <c r="M71" s="105"/>
      <c r="N71" s="110">
        <v>0</v>
      </c>
      <c r="O71" s="105">
        <v>3.0099999999999998E-2</v>
      </c>
      <c r="P71" s="110">
        <v>0</v>
      </c>
    </row>
    <row r="72" spans="2:21" x14ac:dyDescent="0.25">
      <c r="B72" s="159"/>
      <c r="C72" s="159"/>
      <c r="D72" s="159"/>
      <c r="E72" s="159"/>
      <c r="F72" s="159"/>
      <c r="G72" s="159"/>
      <c r="H72" s="157"/>
      <c r="I72" s="105" t="s">
        <v>95</v>
      </c>
      <c r="J72" s="105">
        <v>1473</v>
      </c>
      <c r="K72" s="105">
        <v>2133</v>
      </c>
      <c r="L72" s="105">
        <v>660</v>
      </c>
      <c r="M72" s="113">
        <v>563</v>
      </c>
      <c r="N72" s="110">
        <v>97</v>
      </c>
      <c r="O72" s="105">
        <v>4.7199999999999999E-2</v>
      </c>
      <c r="P72" s="110">
        <v>4.5784000000000002</v>
      </c>
      <c r="Q72" s="133"/>
      <c r="R72" s="133"/>
      <c r="S72" s="133"/>
      <c r="T72" s="140"/>
    </row>
    <row r="73" spans="2:21" ht="15.75" thickBot="1" x14ac:dyDescent="0.3">
      <c r="B73" s="160"/>
      <c r="C73" s="160"/>
      <c r="D73" s="160"/>
      <c r="E73" s="160"/>
      <c r="F73" s="160"/>
      <c r="G73" s="160"/>
      <c r="H73" s="158"/>
      <c r="I73" s="106" t="s">
        <v>97</v>
      </c>
      <c r="J73" s="106">
        <v>0</v>
      </c>
      <c r="K73" s="106">
        <v>0</v>
      </c>
      <c r="L73" s="106">
        <v>0</v>
      </c>
      <c r="M73" s="106"/>
      <c r="N73" s="111">
        <v>0</v>
      </c>
      <c r="O73" s="106">
        <v>9.06E-2</v>
      </c>
      <c r="P73" s="111">
        <v>0</v>
      </c>
      <c r="Q73" s="133"/>
      <c r="R73" s="133"/>
      <c r="S73" s="133"/>
      <c r="T73" s="140"/>
    </row>
    <row r="74" spans="2:21" ht="15.75" thickTop="1" x14ac:dyDescent="0.25">
      <c r="B74" s="159"/>
      <c r="C74" s="162" t="s">
        <v>253</v>
      </c>
      <c r="D74" s="161" t="s">
        <v>219</v>
      </c>
      <c r="E74" s="159" t="s">
        <v>220</v>
      </c>
      <c r="F74" s="159" t="s">
        <v>221</v>
      </c>
      <c r="G74" s="159">
        <v>1</v>
      </c>
      <c r="H74" s="157" t="s">
        <v>252</v>
      </c>
      <c r="I74" s="105" t="s">
        <v>88</v>
      </c>
      <c r="J74" s="105">
        <v>3883</v>
      </c>
      <c r="K74" s="105">
        <v>5188</v>
      </c>
      <c r="L74" s="105">
        <v>1305</v>
      </c>
      <c r="M74" s="113">
        <v>188</v>
      </c>
      <c r="N74" s="110">
        <v>1117</v>
      </c>
      <c r="O74" s="105">
        <v>1.6799999999999999E-2</v>
      </c>
      <c r="P74" s="110">
        <v>18.765599999999999</v>
      </c>
      <c r="Q74" s="131">
        <v>51.681904761904804</v>
      </c>
      <c r="R74" s="133">
        <v>180.14240000000001</v>
      </c>
      <c r="S74">
        <v>943331308</v>
      </c>
      <c r="T74" s="140">
        <v>406</v>
      </c>
    </row>
    <row r="75" spans="2:21" x14ac:dyDescent="0.25">
      <c r="B75" s="159"/>
      <c r="C75" s="159"/>
      <c r="D75" s="159"/>
      <c r="E75" s="159"/>
      <c r="F75" s="159"/>
      <c r="G75" s="159"/>
      <c r="H75" s="157"/>
      <c r="I75" s="105" t="s">
        <v>92</v>
      </c>
      <c r="J75" s="105">
        <v>0</v>
      </c>
      <c r="K75" s="105">
        <v>0</v>
      </c>
      <c r="L75" s="105">
        <v>0</v>
      </c>
      <c r="M75" s="105"/>
      <c r="N75" s="110">
        <v>0</v>
      </c>
      <c r="O75" s="105">
        <v>3.0099999999999998E-2</v>
      </c>
      <c r="P75" s="110">
        <v>0</v>
      </c>
    </row>
    <row r="76" spans="2:21" x14ac:dyDescent="0.25">
      <c r="B76" s="159"/>
      <c r="C76" s="159"/>
      <c r="D76" s="159"/>
      <c r="E76" s="159"/>
      <c r="F76" s="159"/>
      <c r="G76" s="159"/>
      <c r="H76" s="157"/>
      <c r="I76" s="105" t="s">
        <v>95</v>
      </c>
      <c r="J76" s="105">
        <v>11370</v>
      </c>
      <c r="K76" s="105">
        <v>15352</v>
      </c>
      <c r="L76" s="105">
        <v>3982</v>
      </c>
      <c r="M76" s="113">
        <v>563</v>
      </c>
      <c r="N76" s="110">
        <v>3419</v>
      </c>
      <c r="O76" s="105">
        <v>4.7199999999999999E-2</v>
      </c>
      <c r="P76" s="110">
        <v>161.3768</v>
      </c>
      <c r="Q76" s="133"/>
      <c r="R76" s="133"/>
      <c r="S76" s="133"/>
      <c r="T76" s="140"/>
    </row>
    <row r="77" spans="2:21" ht="15.75" thickBot="1" x14ac:dyDescent="0.3">
      <c r="B77" s="160"/>
      <c r="C77" s="160"/>
      <c r="D77" s="160"/>
      <c r="E77" s="160"/>
      <c r="F77" s="160"/>
      <c r="G77" s="160"/>
      <c r="H77" s="158"/>
      <c r="I77" s="106" t="s">
        <v>97</v>
      </c>
      <c r="J77" s="106">
        <v>0</v>
      </c>
      <c r="K77" s="106">
        <v>0</v>
      </c>
      <c r="L77" s="106">
        <v>0</v>
      </c>
      <c r="M77" s="106"/>
      <c r="N77" s="111">
        <v>0</v>
      </c>
      <c r="O77" s="106">
        <v>9.06E-2</v>
      </c>
      <c r="P77" s="111">
        <v>0</v>
      </c>
      <c r="Q77" s="133"/>
      <c r="R77" s="133"/>
      <c r="S77" s="133"/>
      <c r="T77" s="140"/>
    </row>
    <row r="78" spans="2:21" ht="15.75" thickTop="1" x14ac:dyDescent="0.25">
      <c r="B78" s="159" t="s">
        <v>222</v>
      </c>
      <c r="C78" s="159" t="s">
        <v>254</v>
      </c>
      <c r="D78" s="159">
        <v>35009304</v>
      </c>
      <c r="E78" s="159" t="s">
        <v>223</v>
      </c>
      <c r="F78" s="159" t="s">
        <v>224</v>
      </c>
      <c r="G78" s="159">
        <v>1</v>
      </c>
      <c r="H78" s="157" t="s">
        <v>255</v>
      </c>
      <c r="I78" s="105" t="s">
        <v>88</v>
      </c>
      <c r="J78" s="105">
        <v>5</v>
      </c>
      <c r="K78" s="105">
        <v>3848</v>
      </c>
      <c r="L78" s="105">
        <v>3843</v>
      </c>
      <c r="M78" s="113">
        <v>188</v>
      </c>
      <c r="N78" s="110">
        <v>3655</v>
      </c>
      <c r="O78" s="105">
        <v>1.6799999999999999E-2</v>
      </c>
      <c r="P78" s="110">
        <v>61.404000000000003</v>
      </c>
      <c r="Q78" s="131">
        <v>51.681904761904804</v>
      </c>
      <c r="R78" s="133">
        <v>61.404000000000003</v>
      </c>
      <c r="S78">
        <v>942331307</v>
      </c>
      <c r="T78" s="140">
        <v>404</v>
      </c>
    </row>
    <row r="79" spans="2:21" x14ac:dyDescent="0.25">
      <c r="B79" s="159"/>
      <c r="C79" s="159"/>
      <c r="D79" s="159"/>
      <c r="E79" s="159"/>
      <c r="F79" s="159"/>
      <c r="G79" s="159"/>
      <c r="H79" s="157"/>
      <c r="I79" s="105" t="s">
        <v>92</v>
      </c>
      <c r="J79" s="105">
        <v>0</v>
      </c>
      <c r="K79" s="105">
        <v>0</v>
      </c>
      <c r="L79" s="105">
        <v>0</v>
      </c>
      <c r="M79" s="105"/>
      <c r="N79" s="110">
        <v>0</v>
      </c>
      <c r="O79" s="105">
        <v>3.0099999999999998E-2</v>
      </c>
      <c r="P79" s="110">
        <v>0</v>
      </c>
    </row>
    <row r="80" spans="2:21" x14ac:dyDescent="0.25">
      <c r="B80" s="159"/>
      <c r="C80" s="159"/>
      <c r="D80" s="159"/>
      <c r="E80" s="159"/>
      <c r="F80" s="159"/>
      <c r="G80" s="159"/>
      <c r="H80" s="157"/>
      <c r="I80" s="105" t="s">
        <v>95</v>
      </c>
      <c r="J80" s="105">
        <v>31</v>
      </c>
      <c r="K80" s="105">
        <v>340</v>
      </c>
      <c r="L80" s="105">
        <v>309</v>
      </c>
      <c r="M80" s="113">
        <v>563</v>
      </c>
      <c r="N80" s="110">
        <v>0</v>
      </c>
      <c r="O80" s="105">
        <v>4.7199999999999999E-2</v>
      </c>
      <c r="P80" s="110">
        <v>0</v>
      </c>
      <c r="Q80" s="133"/>
      <c r="R80" s="133"/>
      <c r="S80" s="133"/>
      <c r="T80" s="140"/>
    </row>
    <row r="81" spans="2:26" ht="15.75" thickBot="1" x14ac:dyDescent="0.3">
      <c r="B81" s="160"/>
      <c r="C81" s="160"/>
      <c r="D81" s="160"/>
      <c r="E81" s="160"/>
      <c r="F81" s="160"/>
      <c r="G81" s="160"/>
      <c r="H81" s="158"/>
      <c r="I81" s="106" t="s">
        <v>97</v>
      </c>
      <c r="J81" s="106">
        <v>0</v>
      </c>
      <c r="K81" s="106">
        <v>0</v>
      </c>
      <c r="L81" s="106">
        <v>0</v>
      </c>
      <c r="M81" s="106"/>
      <c r="N81" s="111">
        <v>0</v>
      </c>
      <c r="O81" s="106">
        <v>9.06E-2</v>
      </c>
      <c r="P81" s="111">
        <v>0</v>
      </c>
      <c r="Q81" s="133"/>
      <c r="R81" s="133"/>
      <c r="S81" s="133"/>
      <c r="T81" s="140"/>
      <c r="V81" s="99"/>
      <c r="W81" s="99"/>
      <c r="X81" s="99"/>
    </row>
    <row r="82" spans="2:26" ht="15.75" thickTop="1" x14ac:dyDescent="0.25">
      <c r="B82" s="159"/>
      <c r="C82" s="159" t="s">
        <v>225</v>
      </c>
      <c r="D82" s="161" t="s">
        <v>256</v>
      </c>
      <c r="E82" s="159" t="s">
        <v>226</v>
      </c>
      <c r="F82" s="159" t="s">
        <v>227</v>
      </c>
      <c r="G82" s="159">
        <v>1</v>
      </c>
      <c r="H82" s="157" t="s">
        <v>247</v>
      </c>
      <c r="I82" s="105" t="s">
        <v>88</v>
      </c>
      <c r="J82" s="105">
        <v>57</v>
      </c>
      <c r="K82" s="105">
        <v>8633</v>
      </c>
      <c r="L82" s="105">
        <v>8576</v>
      </c>
      <c r="M82" s="113">
        <v>3250</v>
      </c>
      <c r="N82" s="110">
        <v>5326</v>
      </c>
      <c r="O82" s="105">
        <v>1.6799999999999999E-2</v>
      </c>
      <c r="P82" s="110">
        <v>89.476799999999997</v>
      </c>
      <c r="Q82" s="131">
        <v>51.681904761904804</v>
      </c>
      <c r="R82" s="133">
        <v>89.476799999999997</v>
      </c>
      <c r="S82">
        <v>941231308</v>
      </c>
      <c r="T82" s="140">
        <v>403</v>
      </c>
      <c r="V82" s="108"/>
      <c r="W82" s="108"/>
      <c r="X82" s="108"/>
      <c r="Y82" s="93"/>
      <c r="Z82" s="92"/>
    </row>
    <row r="83" spans="2:26" x14ac:dyDescent="0.25">
      <c r="B83" s="159"/>
      <c r="C83" s="159"/>
      <c r="D83" s="159"/>
      <c r="E83" s="159"/>
      <c r="F83" s="159"/>
      <c r="G83" s="159"/>
      <c r="H83" s="157"/>
      <c r="I83" s="105" t="s">
        <v>92</v>
      </c>
      <c r="J83" s="105">
        <v>0</v>
      </c>
      <c r="K83" s="105">
        <v>0</v>
      </c>
      <c r="L83" s="105">
        <v>0</v>
      </c>
      <c r="M83" s="105"/>
      <c r="N83" s="110">
        <v>0</v>
      </c>
      <c r="O83" s="105">
        <v>3.0099999999999998E-2</v>
      </c>
      <c r="P83" s="110">
        <v>0</v>
      </c>
    </row>
    <row r="84" spans="2:26" x14ac:dyDescent="0.25">
      <c r="B84" s="159"/>
      <c r="C84" s="159"/>
      <c r="D84" s="159"/>
      <c r="E84" s="159"/>
      <c r="F84" s="159"/>
      <c r="G84" s="159"/>
      <c r="H84" s="157"/>
      <c r="I84" s="105" t="s">
        <v>95</v>
      </c>
      <c r="J84" s="105">
        <v>0</v>
      </c>
      <c r="K84" s="105">
        <v>0</v>
      </c>
      <c r="L84" s="105">
        <v>0</v>
      </c>
      <c r="M84" s="113">
        <v>0</v>
      </c>
      <c r="N84" s="110">
        <v>0</v>
      </c>
      <c r="O84" s="105">
        <v>4.7199999999999999E-2</v>
      </c>
      <c r="P84" s="110">
        <v>0</v>
      </c>
      <c r="Q84" s="133"/>
      <c r="R84" s="133"/>
      <c r="S84" s="133"/>
      <c r="T84" s="140"/>
    </row>
    <row r="85" spans="2:26" ht="15.75" thickBot="1" x14ac:dyDescent="0.3">
      <c r="B85" s="160"/>
      <c r="C85" s="160"/>
      <c r="D85" s="160"/>
      <c r="E85" s="160"/>
      <c r="F85" s="160"/>
      <c r="G85" s="160"/>
      <c r="H85" s="158"/>
      <c r="I85" s="106" t="s">
        <v>97</v>
      </c>
      <c r="J85" s="106">
        <v>0</v>
      </c>
      <c r="K85" s="106">
        <v>0</v>
      </c>
      <c r="L85" s="106">
        <v>0</v>
      </c>
      <c r="M85" s="106"/>
      <c r="N85" s="111">
        <v>0</v>
      </c>
      <c r="O85" s="106">
        <v>9.06E-2</v>
      </c>
      <c r="P85" s="111">
        <v>0</v>
      </c>
      <c r="Q85" s="133"/>
      <c r="R85" s="133"/>
      <c r="S85" s="133"/>
      <c r="T85" s="140"/>
      <c r="U85" s="124"/>
    </row>
    <row r="86" spans="2:26" ht="16.5" thickTop="1" thickBot="1" x14ac:dyDescent="0.3">
      <c r="B86" s="100" t="s">
        <v>49</v>
      </c>
      <c r="C86" s="101"/>
      <c r="D86" s="101"/>
      <c r="E86" s="101"/>
      <c r="F86" s="101"/>
      <c r="G86" s="102">
        <v>21</v>
      </c>
      <c r="H86" s="102"/>
      <c r="I86" s="102"/>
      <c r="J86" s="102"/>
      <c r="K86" s="102"/>
      <c r="L86" s="102"/>
      <c r="M86" s="118"/>
      <c r="N86" s="125"/>
      <c r="O86" s="126" t="s">
        <v>88</v>
      </c>
      <c r="P86" s="127">
        <v>507.62880000000001</v>
      </c>
      <c r="Q86" s="134"/>
      <c r="R86" s="134"/>
      <c r="S86" s="134"/>
      <c r="T86" s="143"/>
      <c r="U86" s="128" t="s">
        <v>247</v>
      </c>
      <c r="V86" t="s">
        <v>266</v>
      </c>
    </row>
    <row r="87" spans="2:26" ht="15.75" thickBot="1" x14ac:dyDescent="0.3">
      <c r="M87" s="118"/>
      <c r="O87" s="126" t="s">
        <v>88</v>
      </c>
      <c r="P87" s="127">
        <v>135.45840000000001</v>
      </c>
      <c r="Q87" s="134"/>
      <c r="R87" s="134"/>
      <c r="S87" s="134"/>
      <c r="T87" s="143"/>
      <c r="U87" s="128" t="s">
        <v>262</v>
      </c>
      <c r="V87" t="s">
        <v>266</v>
      </c>
    </row>
    <row r="88" spans="2:26" ht="15.75" thickBot="1" x14ac:dyDescent="0.3">
      <c r="M88" s="129"/>
      <c r="O88" s="126" t="s">
        <v>95</v>
      </c>
      <c r="P88" s="127">
        <v>233.4512</v>
      </c>
      <c r="Q88" s="134"/>
      <c r="R88" s="134"/>
      <c r="S88" s="134"/>
      <c r="T88" s="143"/>
      <c r="U88" s="128" t="s">
        <v>262</v>
      </c>
      <c r="V88" t="s">
        <v>266</v>
      </c>
    </row>
    <row r="89" spans="2:26" ht="15.75" thickBot="1" x14ac:dyDescent="0.3">
      <c r="M89" s="108"/>
      <c r="O89" s="126" t="s">
        <v>88</v>
      </c>
      <c r="P89" s="127">
        <v>50.433599999999998</v>
      </c>
      <c r="Q89" s="134"/>
      <c r="R89" s="134"/>
      <c r="S89" s="134"/>
      <c r="T89" s="143"/>
      <c r="U89" s="128" t="s">
        <v>263</v>
      </c>
      <c r="V89" t="s">
        <v>266</v>
      </c>
    </row>
    <row r="90" spans="2:26" ht="15.75" thickBot="1" x14ac:dyDescent="0.3">
      <c r="M90" s="108"/>
      <c r="O90" s="126" t="s">
        <v>95</v>
      </c>
      <c r="P90" s="127">
        <v>538.83519999999999</v>
      </c>
      <c r="Q90" s="134"/>
      <c r="R90" s="134"/>
      <c r="S90" s="134"/>
      <c r="T90" s="143"/>
      <c r="U90" s="128" t="s">
        <v>263</v>
      </c>
      <c r="V90" t="s">
        <v>266</v>
      </c>
    </row>
    <row r="91" spans="2:26" ht="15.75" thickBot="1" x14ac:dyDescent="0.3">
      <c r="O91" s="126" t="s">
        <v>88</v>
      </c>
      <c r="P91" s="127">
        <v>61.404000000000003</v>
      </c>
      <c r="Q91" s="134"/>
      <c r="R91" s="134"/>
      <c r="S91" s="134"/>
      <c r="T91" s="143"/>
      <c r="U91" s="128" t="s">
        <v>264</v>
      </c>
      <c r="V91" t="s">
        <v>266</v>
      </c>
      <c r="W91" s="124">
        <v>36679.5216</v>
      </c>
    </row>
    <row r="92" spans="2:26" ht="15.75" thickBot="1" x14ac:dyDescent="0.3">
      <c r="O92" s="126" t="s">
        <v>88</v>
      </c>
      <c r="P92" s="127">
        <v>2.8056000000000001</v>
      </c>
      <c r="Q92" s="134"/>
      <c r="R92" s="134"/>
      <c r="S92" s="134"/>
      <c r="T92" s="143"/>
      <c r="U92" s="128" t="s">
        <v>265</v>
      </c>
      <c r="V92" t="s">
        <v>266</v>
      </c>
    </row>
    <row r="93" spans="2:26" ht="15.75" thickBot="1" x14ac:dyDescent="0.3">
      <c r="O93" s="126" t="s">
        <v>97</v>
      </c>
      <c r="P93" s="127">
        <v>0.3624</v>
      </c>
      <c r="Q93" s="134"/>
      <c r="R93" s="134"/>
      <c r="S93" s="134"/>
      <c r="T93" s="143"/>
      <c r="U93" s="128" t="s">
        <v>267</v>
      </c>
      <c r="V93" t="s">
        <v>266</v>
      </c>
    </row>
    <row r="94" spans="2:26" x14ac:dyDescent="0.25">
      <c r="P94" s="112">
        <v>1530.3792000000001</v>
      </c>
    </row>
    <row r="96" spans="2:26" x14ac:dyDescent="0.25">
      <c r="P96" s="112">
        <v>1967.7416000000001</v>
      </c>
      <c r="R96" s="112">
        <v>1962.5024000000001</v>
      </c>
    </row>
    <row r="97" spans="18:18" x14ac:dyDescent="0.25">
      <c r="R97" s="112">
        <v>-5.2391999999997596</v>
      </c>
    </row>
  </sheetData>
  <autoFilter ref="H1:H96" xr:uid="{B1A81751-CD54-4DB1-B959-AD61045D7BD7}"/>
  <mergeCells count="155">
    <mergeCell ref="H82:H85"/>
    <mergeCell ref="B82:B85"/>
    <mergeCell ref="C82:C85"/>
    <mergeCell ref="D82:D85"/>
    <mergeCell ref="E82:E85"/>
    <mergeCell ref="F82:F85"/>
    <mergeCell ref="G82:G85"/>
    <mergeCell ref="H74:H77"/>
    <mergeCell ref="B78:B81"/>
    <mergeCell ref="C78:C81"/>
    <mergeCell ref="D78:D81"/>
    <mergeCell ref="E78:E81"/>
    <mergeCell ref="F78:F81"/>
    <mergeCell ref="G78:G81"/>
    <mergeCell ref="H78:H81"/>
    <mergeCell ref="B74:B77"/>
    <mergeCell ref="C74:C77"/>
    <mergeCell ref="D74:D77"/>
    <mergeCell ref="E74:E77"/>
    <mergeCell ref="F74:F77"/>
    <mergeCell ref="G74:G77"/>
    <mergeCell ref="H66:H69"/>
    <mergeCell ref="U66:U69"/>
    <mergeCell ref="B70:B73"/>
    <mergeCell ref="C70:C73"/>
    <mergeCell ref="D70:D73"/>
    <mergeCell ref="E70:E73"/>
    <mergeCell ref="F70:F73"/>
    <mergeCell ref="G70:G73"/>
    <mergeCell ref="H70:H73"/>
    <mergeCell ref="B66:B69"/>
    <mergeCell ref="C66:C69"/>
    <mergeCell ref="D66:D69"/>
    <mergeCell ref="E66:E69"/>
    <mergeCell ref="F66:F69"/>
    <mergeCell ref="G66:G69"/>
    <mergeCell ref="H58:H61"/>
    <mergeCell ref="B62:B65"/>
    <mergeCell ref="C62:C65"/>
    <mergeCell ref="D62:D65"/>
    <mergeCell ref="E62:E65"/>
    <mergeCell ref="F62:F65"/>
    <mergeCell ref="G62:G65"/>
    <mergeCell ref="H62:H65"/>
    <mergeCell ref="B58:B61"/>
    <mergeCell ref="C58:C61"/>
    <mergeCell ref="D58:D61"/>
    <mergeCell ref="E58:E61"/>
    <mergeCell ref="F58:F61"/>
    <mergeCell ref="G58:G61"/>
    <mergeCell ref="H50:H53"/>
    <mergeCell ref="B54:B57"/>
    <mergeCell ref="C54:C57"/>
    <mergeCell ref="D54:D57"/>
    <mergeCell ref="E54:E57"/>
    <mergeCell ref="F54:F57"/>
    <mergeCell ref="G54:G57"/>
    <mergeCell ref="H54:H57"/>
    <mergeCell ref="B50:B53"/>
    <mergeCell ref="C50:C53"/>
    <mergeCell ref="D50:D53"/>
    <mergeCell ref="E50:E53"/>
    <mergeCell ref="F50:F53"/>
    <mergeCell ref="G50:G53"/>
    <mergeCell ref="H42:H45"/>
    <mergeCell ref="B46:B49"/>
    <mergeCell ref="C46:C49"/>
    <mergeCell ref="D46:D49"/>
    <mergeCell ref="E46:E49"/>
    <mergeCell ref="F46:F49"/>
    <mergeCell ref="G46:G49"/>
    <mergeCell ref="H46:H49"/>
    <mergeCell ref="B42:B45"/>
    <mergeCell ref="C42:C45"/>
    <mergeCell ref="D42:D45"/>
    <mergeCell ref="E42:E45"/>
    <mergeCell ref="F42:F45"/>
    <mergeCell ref="G42:G45"/>
    <mergeCell ref="H34:H37"/>
    <mergeCell ref="B38:B41"/>
    <mergeCell ref="C38:C41"/>
    <mergeCell ref="D38:D41"/>
    <mergeCell ref="E38:E41"/>
    <mergeCell ref="F38:F41"/>
    <mergeCell ref="G38:G41"/>
    <mergeCell ref="H38:H41"/>
    <mergeCell ref="B34:B37"/>
    <mergeCell ref="C34:C37"/>
    <mergeCell ref="D34:D37"/>
    <mergeCell ref="E34:E37"/>
    <mergeCell ref="F34:F37"/>
    <mergeCell ref="G34:G37"/>
    <mergeCell ref="H26:H29"/>
    <mergeCell ref="U26:U29"/>
    <mergeCell ref="B30:B33"/>
    <mergeCell ref="C30:C33"/>
    <mergeCell ref="D30:D33"/>
    <mergeCell ref="E30:E33"/>
    <mergeCell ref="F30:F33"/>
    <mergeCell ref="G30:G33"/>
    <mergeCell ref="H30:H33"/>
    <mergeCell ref="B26:B29"/>
    <mergeCell ref="C26:C29"/>
    <mergeCell ref="D26:D29"/>
    <mergeCell ref="E26:E29"/>
    <mergeCell ref="F26:F29"/>
    <mergeCell ref="G26:G29"/>
    <mergeCell ref="H18:H21"/>
    <mergeCell ref="U18:U21"/>
    <mergeCell ref="B22:B25"/>
    <mergeCell ref="C22:C25"/>
    <mergeCell ref="D22:D25"/>
    <mergeCell ref="E22:E25"/>
    <mergeCell ref="F22:F25"/>
    <mergeCell ref="G22:G25"/>
    <mergeCell ref="H22:H25"/>
    <mergeCell ref="U22:U25"/>
    <mergeCell ref="B18:B21"/>
    <mergeCell ref="C18:C21"/>
    <mergeCell ref="D18:D21"/>
    <mergeCell ref="E18:E21"/>
    <mergeCell ref="F18:F21"/>
    <mergeCell ref="G18:G21"/>
    <mergeCell ref="H10:H13"/>
    <mergeCell ref="U10:U13"/>
    <mergeCell ref="B14:B17"/>
    <mergeCell ref="C14:C17"/>
    <mergeCell ref="D14:D17"/>
    <mergeCell ref="E14:E17"/>
    <mergeCell ref="F14:F17"/>
    <mergeCell ref="G14:G17"/>
    <mergeCell ref="H14:H17"/>
    <mergeCell ref="U14:U17"/>
    <mergeCell ref="B10:B13"/>
    <mergeCell ref="C10:C13"/>
    <mergeCell ref="D10:D13"/>
    <mergeCell ref="E10:E13"/>
    <mergeCell ref="F10:F13"/>
    <mergeCell ref="G10:G13"/>
    <mergeCell ref="H2:H5"/>
    <mergeCell ref="U2:U5"/>
    <mergeCell ref="B6:B9"/>
    <mergeCell ref="C6:C9"/>
    <mergeCell ref="D6:D9"/>
    <mergeCell ref="E6:E9"/>
    <mergeCell ref="F6:F9"/>
    <mergeCell ref="G6:G9"/>
    <mergeCell ref="H6:H9"/>
    <mergeCell ref="U6:U9"/>
    <mergeCell ref="B2:B5"/>
    <mergeCell ref="C2:C5"/>
    <mergeCell ref="D2:D5"/>
    <mergeCell ref="E2:E5"/>
    <mergeCell ref="F2:F5"/>
    <mergeCell ref="G2:G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scriptIds xmlns="http://schemas.microsoft.com/office/extensibility/maker/v1.0" id="script-ids-node-id">
  <scriptId id="ms-officescript%3A%2F%2Fonedrive_business_itemlink%2F015JBIWAQ6OPWKISMPLZFJANIL7WC2GDFJ:ms-officescript%3A%2F%2Fonedrive_business_sharinglink%2Fu!aHR0cHM6Ly9zd2lzc2xpbWEtbXkuc2hhcmVwb2ludC5jb20vOnU6L2cvcGVyc29uYWwvY29zdG9zX3N3aXNzbGltYV9vbm1pY3Jvc29mdF9jb20vSVFBZWMteWtTWTllU3BBMUNfMkZvd3lwQWZpRzRFZ3YxRWJXNzgzOEtRV3NoeEE"/>
</scriptIds>
</file>

<file path=customXml/itemProps1.xml><?xml version="1.0" encoding="utf-8"?>
<ds:datastoreItem xmlns:ds="http://schemas.openxmlformats.org/officeDocument/2006/customXml" ds:itemID="{ED99A17A-2901-450A-B279-447CCDC8D52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6515BDB-9ECC-4AB6-A3B1-C279BE589235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Contrato</vt:lpstr>
      <vt:lpstr>2021</vt:lpstr>
      <vt:lpstr>01</vt:lpstr>
      <vt:lpstr>02</vt:lpstr>
      <vt:lpstr>2026-3</vt:lpstr>
      <vt:lpstr>2026</vt:lpstr>
      <vt:lpstr>ff</vt:lpstr>
      <vt:lpstr>SAP</vt:lpstr>
      <vt:lpstr>Marzo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limh1ac36</dc:creator>
  <cp:lastModifiedBy>Leider Tisnado</cp:lastModifiedBy>
  <cp:lastPrinted>2026-04-16T15:58:52Z</cp:lastPrinted>
  <dcterms:created xsi:type="dcterms:W3CDTF">2022-06-16T19:03:27Z</dcterms:created>
  <dcterms:modified xsi:type="dcterms:W3CDTF">2026-04-22T13:13:33Z</dcterms:modified>
</cp:coreProperties>
</file>